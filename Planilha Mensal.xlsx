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xr:revisionPtr revIDLastSave="0" documentId="8_{4A0A1AB3-AE41-0847-83E7-BEBC4ABEC6AF}" xr6:coauthVersionLast="47" xr6:coauthVersionMax="47" xr10:uidLastSave="{00000000-0000-0000-0000-000000000000}"/>
  <bookViews>
    <workbookView xWindow="0" yWindow="900" windowWidth="28800" windowHeight="14235" firstSheet="7" activeTab="17" xr2:uid="{00000000-000D-0000-FFFF-FFFF00000000}"/>
  </bookViews>
  <sheets>
    <sheet name="Março " sheetId="1" r:id="rId1"/>
    <sheet name="Novembro " sheetId="4" r:id="rId2"/>
    <sheet name="Dezembro" sheetId="5" r:id="rId3"/>
    <sheet name="Janeiro 25" sheetId="6" r:id="rId4"/>
    <sheet name="Fevereiro 25" sheetId="7" r:id="rId5"/>
    <sheet name="Março 25" sheetId="8" r:id="rId6"/>
    <sheet name="Abril 25" sheetId="9" r:id="rId7"/>
    <sheet name="Maio 25" sheetId="10" r:id="rId8"/>
    <sheet name="Junho 25" sheetId="11" r:id="rId9"/>
    <sheet name="Julho 25" sheetId="12" r:id="rId10"/>
    <sheet name="Agosto 25" sheetId="13" r:id="rId11"/>
    <sheet name="Setembro 25" sheetId="14" r:id="rId12"/>
    <sheet name="Outubro 25" sheetId="15" r:id="rId13"/>
    <sheet name="Novembro 25" sheetId="16" r:id="rId14"/>
    <sheet name="Dezembro 25" sheetId="17" r:id="rId15"/>
    <sheet name="Janeiro 26" sheetId="18" r:id="rId16"/>
    <sheet name="Fevereiro 26" sheetId="19" r:id="rId17"/>
    <sheet name="Março 26" sheetId="20" r:id="rId18"/>
    <sheet name="Dados do gráfico" sheetId="2" state="hidden" r:id="rId19"/>
  </sheets>
  <definedNames>
    <definedName name="Economia_mensal_total" localSheetId="6">'Abril 25'!$C$8</definedName>
    <definedName name="Economia_mensal_total" localSheetId="10">'Agosto 25'!$C$8</definedName>
    <definedName name="Economia_mensal_total" localSheetId="2">Dezembro!$C$8</definedName>
    <definedName name="Economia_mensal_total" localSheetId="14">'Dezembro 25'!$C$8</definedName>
    <definedName name="Economia_mensal_total" localSheetId="4">'Fevereiro 25'!$C$8</definedName>
    <definedName name="Economia_mensal_total" localSheetId="16">'Fevereiro 26'!$C$8</definedName>
    <definedName name="Economia_mensal_total" localSheetId="17">'Março 26'!$C$8</definedName>
    <definedName name="Economia_mensal_total" localSheetId="3">'Janeiro 25'!$C$8</definedName>
    <definedName name="Economia_mensal_total" localSheetId="15">'Janeiro 26'!$C$8</definedName>
    <definedName name="Economia_mensal_total" localSheetId="9">'Julho 25'!$C$8</definedName>
    <definedName name="Economia_mensal_total" localSheetId="8">'Junho 25'!$C$8</definedName>
    <definedName name="Economia_mensal_total" localSheetId="7">'Maio 25'!$C$8</definedName>
    <definedName name="Economia_mensal_total" localSheetId="5">'Março 25'!$C$8</definedName>
    <definedName name="Economia_mensal_total" localSheetId="1">'Novembro '!$C$8</definedName>
    <definedName name="Economia_mensal_total" localSheetId="13">'Novembro 25'!$C$8</definedName>
    <definedName name="Economia_mensal_total" localSheetId="12">'Outubro 25'!$C$8</definedName>
    <definedName name="Economia_mensal_total" localSheetId="11">'Setembro 25'!$C$8</definedName>
    <definedName name="Economia_mensal_total">'Março '!$C$8</definedName>
    <definedName name="Renda_mensal_total" localSheetId="6">'Abril 25'!$C$4</definedName>
    <definedName name="Renda_mensal_total" localSheetId="10">'Agosto 25'!$C$4</definedName>
    <definedName name="Renda_mensal_total" localSheetId="2">Dezembro!$C$4</definedName>
    <definedName name="Renda_mensal_total" localSheetId="14">'Dezembro 25'!$C$4</definedName>
    <definedName name="Renda_mensal_total" localSheetId="4">'Fevereiro 25'!$C$4</definedName>
    <definedName name="Renda_mensal_total" localSheetId="16">'Fevereiro 26'!$C$4</definedName>
    <definedName name="Renda_mensal_total" localSheetId="17">'Março 26'!$C$4</definedName>
    <definedName name="Renda_mensal_total" localSheetId="3">'Janeiro 25'!$C$4</definedName>
    <definedName name="Renda_mensal_total" localSheetId="15">'Janeiro 26'!$C$4</definedName>
    <definedName name="Renda_mensal_total" localSheetId="9">'Julho 25'!$C$4</definedName>
    <definedName name="Renda_mensal_total" localSheetId="8">'Junho 25'!$C$4</definedName>
    <definedName name="Renda_mensal_total" localSheetId="7">'Maio 25'!$C$4</definedName>
    <definedName name="Renda_mensal_total" localSheetId="5">'Março 25'!$C$4</definedName>
    <definedName name="Renda_mensal_total" localSheetId="1">'Novembro '!$C$4</definedName>
    <definedName name="Renda_mensal_total" localSheetId="13">'Novembro 25'!$C$4</definedName>
    <definedName name="Renda_mensal_total" localSheetId="12">'Outubro 25'!$C$4</definedName>
    <definedName name="Renda_mensal_total" localSheetId="11">'Setembro 25'!$C$4</definedName>
    <definedName name="Renda_mensal_total">'Março '!$C$4</definedName>
    <definedName name="Total_mensal_de_despesas" localSheetId="6">'Abril 25'!$C$6</definedName>
    <definedName name="Total_mensal_de_despesas" localSheetId="10">'Agosto 25'!$C$6</definedName>
    <definedName name="Total_mensal_de_despesas" localSheetId="2">Dezembro!$C$6</definedName>
    <definedName name="Total_mensal_de_despesas" localSheetId="14">'Dezembro 25'!$C$6</definedName>
    <definedName name="Total_mensal_de_despesas" localSheetId="4">'Fevereiro 25'!$C$6</definedName>
    <definedName name="Total_mensal_de_despesas" localSheetId="16">'Fevereiro 26'!$C$6</definedName>
    <definedName name="Total_mensal_de_despesas" localSheetId="17">'Março 26'!$C$6</definedName>
    <definedName name="Total_mensal_de_despesas" localSheetId="3">'Janeiro 25'!$C$6</definedName>
    <definedName name="Total_mensal_de_despesas" localSheetId="15">'Janeiro 26'!$C$6</definedName>
    <definedName name="Total_mensal_de_despesas" localSheetId="9">'Julho 25'!$C$6</definedName>
    <definedName name="Total_mensal_de_despesas" localSheetId="8">'Junho 25'!$C$6</definedName>
    <definedName name="Total_mensal_de_despesas" localSheetId="7">'Maio 25'!$C$6</definedName>
    <definedName name="Total_mensal_de_despesas" localSheetId="5">'Março 25'!$C$6</definedName>
    <definedName name="Total_mensal_de_despesas" localSheetId="1">'Novembro '!$C$6</definedName>
    <definedName name="Total_mensal_de_despesas" localSheetId="13">'Novembro 25'!$C$6</definedName>
    <definedName name="Total_mensal_de_despesas" localSheetId="12">'Outubro 25'!$C$6</definedName>
    <definedName name="Total_mensal_de_despesas" localSheetId="11">'Setembro 25'!$C$6</definedName>
    <definedName name="Total_mensal_de_despesas">'Março '!$C$6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20" l="1"/>
  <c r="C6" i="20"/>
  <c r="C4" i="20"/>
  <c r="B11" i="20"/>
  <c r="C8" i="20"/>
  <c r="C10" i="20"/>
  <c r="F39" i="19"/>
  <c r="C6" i="19"/>
  <c r="C4" i="19"/>
  <c r="B11" i="19"/>
  <c r="C8" i="19"/>
  <c r="C10" i="19"/>
  <c r="F37" i="18"/>
  <c r="C6" i="18"/>
  <c r="C4" i="18"/>
  <c r="B11" i="18"/>
  <c r="C8" i="18"/>
  <c r="C10" i="18"/>
  <c r="F34" i="17"/>
  <c r="C6" i="17"/>
  <c r="C4" i="17"/>
  <c r="B11" i="17"/>
  <c r="C8" i="17"/>
  <c r="C10" i="17"/>
  <c r="F34" i="16"/>
  <c r="C6" i="16"/>
  <c r="C4" i="16"/>
  <c r="B11" i="16"/>
  <c r="C8" i="16"/>
  <c r="C10" i="16"/>
  <c r="F34" i="15"/>
  <c r="C6" i="15"/>
  <c r="C4" i="15"/>
  <c r="B11" i="15"/>
  <c r="C8" i="15"/>
  <c r="C10" i="15"/>
  <c r="F34" i="14"/>
  <c r="C6" i="14"/>
  <c r="C4" i="14"/>
  <c r="B11" i="14"/>
  <c r="C8" i="14"/>
  <c r="C10" i="14"/>
  <c r="F34" i="13"/>
  <c r="C6" i="13"/>
  <c r="C4" i="13"/>
  <c r="B11" i="13"/>
  <c r="C8" i="13"/>
  <c r="C10" i="13"/>
  <c r="C6" i="12"/>
  <c r="F34" i="12"/>
  <c r="C4" i="12"/>
  <c r="B11" i="12"/>
  <c r="C8" i="12"/>
  <c r="C10" i="12"/>
  <c r="F34" i="11"/>
  <c r="C6" i="11"/>
  <c r="C4" i="11"/>
  <c r="B11" i="11"/>
  <c r="C8" i="11"/>
  <c r="C10" i="11"/>
  <c r="F34" i="10"/>
  <c r="C8" i="10"/>
  <c r="C6" i="10"/>
  <c r="C4" i="10"/>
  <c r="F34" i="9"/>
  <c r="C8" i="9"/>
  <c r="C6" i="9"/>
  <c r="C4" i="9"/>
  <c r="C10" i="9"/>
  <c r="F32" i="8"/>
  <c r="C8" i="8"/>
  <c r="C6" i="8"/>
  <c r="C4" i="8"/>
  <c r="C10" i="8"/>
  <c r="E20" i="7"/>
  <c r="C6" i="7"/>
  <c r="C4" i="7"/>
  <c r="B11" i="7"/>
  <c r="C8" i="7"/>
  <c r="C10" i="7"/>
  <c r="E20" i="6"/>
  <c r="C6" i="6"/>
  <c r="C4" i="6"/>
  <c r="B11" i="6"/>
  <c r="C8" i="6"/>
  <c r="C10" i="6"/>
  <c r="C4" i="5"/>
  <c r="C4" i="4"/>
  <c r="C8" i="5"/>
  <c r="C6" i="5"/>
  <c r="C10" i="5"/>
  <c r="C8" i="4"/>
  <c r="C6" i="4"/>
  <c r="C10" i="4"/>
  <c r="C6" i="1"/>
  <c r="C4" i="1"/>
  <c r="B6" i="2"/>
  <c r="B5" i="2"/>
  <c r="B4" i="2"/>
  <c r="B11" i="1"/>
  <c r="C8" i="1"/>
  <c r="C10" i="1"/>
  <c r="B11" i="4"/>
  <c r="B11" i="5"/>
  <c r="C10" i="10"/>
  <c r="B11" i="10"/>
  <c r="B11" i="9"/>
  <c r="B11" i="8"/>
</calcChain>
</file>

<file path=xl/sharedStrings.xml><?xml version="1.0" encoding="utf-8"?>
<sst xmlns="http://schemas.openxmlformats.org/spreadsheetml/2006/main" count="720" uniqueCount="51">
  <si>
    <t>Orçamento</t>
  </si>
  <si>
    <t>Percentual da renda gasta</t>
  </si>
  <si>
    <t>Resumo</t>
  </si>
  <si>
    <t>Renda mensal total</t>
  </si>
  <si>
    <t>Despesa mensal total</t>
  </si>
  <si>
    <t>Economia mensal total</t>
  </si>
  <si>
    <t>Saldo em dinheiro</t>
  </si>
  <si>
    <t>Renda mensal</t>
  </si>
  <si>
    <t>Item</t>
  </si>
  <si>
    <t>Valor</t>
  </si>
  <si>
    <t>Fonte de renda 1</t>
  </si>
  <si>
    <t>Fonte de renda 2</t>
  </si>
  <si>
    <t>Outros</t>
  </si>
  <si>
    <t>Despesas mensais</t>
  </si>
  <si>
    <t>Aluguel/condomínio</t>
  </si>
  <si>
    <t>Eletricidade</t>
  </si>
  <si>
    <t xml:space="preserve">internet </t>
  </si>
  <si>
    <t>Telefone celular</t>
  </si>
  <si>
    <t>Iptv</t>
  </si>
  <si>
    <t xml:space="preserve">Condomínio </t>
  </si>
  <si>
    <t>Cartões de crédito</t>
  </si>
  <si>
    <t xml:space="preserve">pensão </t>
  </si>
  <si>
    <t>Havan</t>
  </si>
  <si>
    <t>Renner</t>
  </si>
  <si>
    <t>CeA</t>
  </si>
  <si>
    <t>Studio Z</t>
  </si>
  <si>
    <t>Encargos</t>
  </si>
  <si>
    <t>Guardar/Investir</t>
  </si>
  <si>
    <t>Economia mensal</t>
  </si>
  <si>
    <t>Data</t>
  </si>
  <si>
    <t>[Data]</t>
  </si>
  <si>
    <t xml:space="preserve">Picpay </t>
  </si>
  <si>
    <t>Casas Bahia</t>
  </si>
  <si>
    <t xml:space="preserve">Mercado pago </t>
  </si>
  <si>
    <t xml:space="preserve">Pernambucanas </t>
  </si>
  <si>
    <t>Cartão Suellen</t>
  </si>
  <si>
    <t>Sams</t>
  </si>
  <si>
    <t>Cartão Nubank</t>
  </si>
  <si>
    <t>Cartão Torra</t>
  </si>
  <si>
    <t>Salário Vera</t>
  </si>
  <si>
    <t>Riachuelo</t>
  </si>
  <si>
    <t>DADOS DO GRÁFICO</t>
  </si>
  <si>
    <t xml:space="preserve">Parcela Carro </t>
  </si>
  <si>
    <t>Seguro Carro</t>
  </si>
  <si>
    <t>Parcela MBA</t>
  </si>
  <si>
    <t>Coluna1</t>
  </si>
  <si>
    <t>Aluguel</t>
  </si>
  <si>
    <t>Cartão Assai</t>
  </si>
  <si>
    <t xml:space="preserve">Parcela Empréstimo </t>
  </si>
  <si>
    <t xml:space="preserve">Renner </t>
  </si>
  <si>
    <t xml:space="preserve">IPVA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</si>
</sst>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8" formatCode="&quot;R$&quot;#,##0.00;[Red]\-&quot;R$&quot;#,##0.00"/>
    <numFmt numFmtId="42" formatCode="_-&quot;R$&quot;* #,##0_-;\-&quot;R$&quot;* #,##0_-;_-&quot;R$&quot;* &quot;-&quot;_-;_-@_-"/>
    <numFmt numFmtId="41" formatCode="_-* #,##0_-;\-* #,##0_-;_-* &quot;-&quot;_-;_-@_-"/>
    <numFmt numFmtId="44" formatCode="_-&quot;R$&quot;* #,##0.00_-;\-&quot;R$&quot;* #,##0.00_-;_-&quot;R$&quot;* &quot;-&quot;??_-;_-@_-"/>
    <numFmt numFmtId="43" formatCode="_-* #,##0.00_-;\-* #,##0.00_-;_-* &quot;-&quot;??_-;_-@_-"/>
    <numFmt numFmtId="164" formatCode="&quot;£&quot;#,##0.00"/>
    <numFmt numFmtId="165" formatCode="&quot;R$&quot;\ #,##0"/>
    <numFmt numFmtId="166" formatCode="&quot;R$&quot;\ #,##0.00"/>
    <numFmt numFmtId="167" formatCode="&quot;R$&quot;#,##0.00"/>
  </numFmts>
  <fonts count="12" x14ac:knownFonts="1">
    <font>
      <b/>
      <sz val="12"/>
      <color theme="3" tint="0.39988402966399123"/>
      <name val="Arial"/>
      <family val="2"/>
      <scheme val="minor"/>
    </font>
    <font>
      <sz val="10"/>
      <name val="Arial"/>
      <family val="2"/>
    </font>
    <font>
      <b/>
      <sz val="18"/>
      <color theme="3"/>
      <name val="Arial"/>
      <family val="2"/>
      <scheme val="minor"/>
    </font>
    <font>
      <b/>
      <sz val="12"/>
      <color theme="4"/>
      <name val="Arial"/>
      <family val="2"/>
      <scheme val="minor"/>
    </font>
    <font>
      <sz val="12"/>
      <color theme="0"/>
      <name val="Arial"/>
      <family val="2"/>
      <scheme val="minor"/>
    </font>
    <font>
      <b/>
      <sz val="14"/>
      <color theme="4"/>
      <name val="Arial"/>
      <family val="2"/>
      <scheme val="minor"/>
    </font>
    <font>
      <b/>
      <sz val="18"/>
      <color theme="3"/>
      <name val="Arial"/>
      <family val="2"/>
      <scheme val="major"/>
    </font>
    <font>
      <b/>
      <sz val="12"/>
      <color theme="4"/>
      <name val="Arial"/>
      <family val="2"/>
      <scheme val="major"/>
    </font>
    <font>
      <b/>
      <sz val="12"/>
      <color theme="3" tint="0.39988402966399123"/>
      <name val="Arial"/>
      <family val="2"/>
      <scheme val="major"/>
    </font>
    <font>
      <b/>
      <sz val="29"/>
      <color theme="3"/>
      <name val="Arial"/>
      <family val="2"/>
      <scheme val="major"/>
    </font>
    <font>
      <sz val="12"/>
      <name val="Arial"/>
      <family val="2"/>
      <scheme val="minor"/>
    </font>
    <font>
      <b/>
      <sz val="12"/>
      <color theme="3" tint="0.39988402966399123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 applyNumberFormat="0" applyFill="0" applyAlignment="0" applyProtection="0"/>
    <xf numFmtId="0" fontId="6" fillId="0" borderId="0" applyNumberFormat="0" applyFill="0" applyProtection="0">
      <alignment horizontal="left"/>
    </xf>
    <xf numFmtId="0" fontId="2" fillId="0" borderId="0" applyNumberFormat="0" applyFill="0" applyAlignment="0" applyProtection="0"/>
  </cellStyleXfs>
  <cellXfs count="31">
    <xf numFmtId="0" fontId="0" fillId="0" borderId="0" xfId="0"/>
    <xf numFmtId="0" fontId="6" fillId="0" borderId="0" xfId="7">
      <alignment horizontal="left"/>
    </xf>
    <xf numFmtId="9" fontId="4" fillId="0" borderId="0" xfId="0" applyNumberFormat="1" applyFont="1"/>
    <xf numFmtId="9" fontId="5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6" applyAlignment="1">
      <alignment horizontal="left"/>
    </xf>
    <xf numFmtId="9" fontId="10" fillId="0" borderId="0" xfId="0" applyNumberFormat="1" applyFont="1"/>
    <xf numFmtId="165" fontId="3" fillId="0" borderId="0" xfId="0" applyNumberFormat="1" applyFont="1" applyAlignment="1">
      <alignment horizontal="left"/>
    </xf>
    <xf numFmtId="166" fontId="0" fillId="0" borderId="0" xfId="0" applyNumberFormat="1" applyAlignment="1">
      <alignment horizontal="left"/>
    </xf>
    <xf numFmtId="14" fontId="8" fillId="0" borderId="0" xfId="0" applyNumberFormat="1" applyFont="1"/>
    <xf numFmtId="0" fontId="0" fillId="2" borderId="0" xfId="0" applyFill="1"/>
    <xf numFmtId="0" fontId="0" fillId="0" borderId="0" xfId="0" applyFill="1"/>
    <xf numFmtId="166" fontId="0" fillId="3" borderId="0" xfId="0" applyNumberFormat="1" applyFill="1" applyAlignment="1">
      <alignment horizontal="left"/>
    </xf>
    <xf numFmtId="166" fontId="0" fillId="4" borderId="0" xfId="0" applyNumberFormat="1" applyFill="1" applyAlignment="1">
      <alignment horizontal="left"/>
    </xf>
    <xf numFmtId="166" fontId="0" fillId="0" borderId="0" xfId="0" applyNumberFormat="1"/>
    <xf numFmtId="8" fontId="0" fillId="0" borderId="0" xfId="0" applyNumberFormat="1"/>
    <xf numFmtId="166" fontId="0" fillId="4" borderId="0" xfId="0" applyNumberFormat="1" applyFont="1" applyFill="1" applyAlignment="1">
      <alignment horizontal="left"/>
    </xf>
    <xf numFmtId="166" fontId="0" fillId="5" borderId="0" xfId="0" applyNumberFormat="1" applyFill="1" applyAlignment="1">
      <alignment horizontal="left"/>
    </xf>
    <xf numFmtId="166" fontId="0" fillId="5" borderId="0" xfId="0" applyNumberFormat="1" applyFont="1" applyFill="1" applyAlignment="1">
      <alignment horizontal="left"/>
    </xf>
    <xf numFmtId="166" fontId="0" fillId="3" borderId="0" xfId="0" applyNumberFormat="1" applyFont="1" applyFill="1" applyAlignment="1">
      <alignment horizontal="left"/>
    </xf>
    <xf numFmtId="166" fontId="0" fillId="0" borderId="0" xfId="0" applyNumberFormat="1" applyFill="1" applyAlignment="1">
      <alignment horizontal="left"/>
    </xf>
    <xf numFmtId="0" fontId="0" fillId="4" borderId="0" xfId="0" applyFill="1" applyAlignment="1">
      <alignment horizontal="left"/>
    </xf>
    <xf numFmtId="167" fontId="0" fillId="0" borderId="0" xfId="0" applyNumberFormat="1"/>
    <xf numFmtId="0" fontId="11" fillId="0" borderId="0" xfId="0" applyFont="1"/>
    <xf numFmtId="166" fontId="0" fillId="0" borderId="0" xfId="0" applyNumberFormat="1" applyFont="1" applyAlignment="1">
      <alignment horizontal="left"/>
    </xf>
    <xf numFmtId="2" fontId="0" fillId="0" borderId="0" xfId="0" applyNumberFormat="1"/>
    <xf numFmtId="166" fontId="0" fillId="0" borderId="0" xfId="0" applyNumberFormat="1" applyFont="1" applyFill="1" applyAlignment="1">
      <alignment horizontal="left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eading 1" xfId="7" xr:uid="{00000000-0005-0000-0000-000007000000}"/>
    <cellStyle name="Heading 2" xfId="8" xr:uid="{00000000-0005-0000-0000-000008000000}"/>
    <cellStyle name="Normal" xfId="0" builtinId="0"/>
    <cellStyle name="Percent" xfId="1" xr:uid="{00000000-0005-0000-0000-000001000000}"/>
    <cellStyle name="Title" xfId="6" xr:uid="{00000000-0005-0000-0000-000006000000}"/>
  </cellStyles>
  <dxfs count="146">
    <dxf>
      <font>
        <color theme="5" tint="-0.24991607409894101"/>
      </font>
    </dxf>
    <dxf>
      <font>
        <color theme="5" tint="-0.24991607409894101"/>
      </font>
    </dxf>
    <dxf>
      <font>
        <color theme="5" tint="-0.24991607409894101"/>
      </font>
    </dxf>
    <dxf>
      <font>
        <color theme="5" tint="-0.24991607409894101"/>
      </font>
    </dxf>
    <dxf>
      <font>
        <color theme="5" tint="-0.24991607409894101"/>
      </font>
    </dxf>
    <dxf>
      <font>
        <color theme="5" tint="-0.24991607409894101"/>
      </font>
    </dxf>
    <dxf>
      <font>
        <color theme="5" tint="-0.24991607409894101"/>
      </font>
    </dxf>
    <dxf>
      <font>
        <color theme="5" tint="-0.24991607409894101"/>
      </font>
    </dxf>
    <dxf>
      <font>
        <color theme="5" tint="-0.24991607409894101"/>
      </font>
    </dxf>
    <dxf>
      <font>
        <color theme="5" tint="-0.24991607409894101"/>
      </font>
    </dxf>
    <dxf>
      <font>
        <color theme="5" tint="-0.24991607409894101"/>
      </font>
    </dxf>
    <dxf>
      <font>
        <color theme="5" tint="-0.24991607409894101"/>
      </font>
    </dxf>
    <dxf>
      <font>
        <color theme="5" tint="-0.24991607409894101"/>
      </font>
    </dxf>
    <dxf>
      <font>
        <color theme="5" tint="-0.24991607409894101"/>
      </font>
    </dxf>
    <dxf>
      <font>
        <color theme="5" tint="-0.24991607409894101"/>
      </font>
    </dxf>
    <dxf>
      <font>
        <color theme="5" tint="-0.24991607409894101"/>
      </font>
    </dxf>
    <dxf>
      <font>
        <color theme="5" tint="-0.24991607409894101"/>
      </font>
    </dxf>
    <dxf>
      <font>
        <color theme="5" tint="-0.24991607409894101"/>
      </font>
    </dxf>
    <dxf>
      <numFmt numFmtId="166" formatCode="&quot;R$&quot;\ #,##0.00"/>
      <alignment horizontal="left" vertical="bottom" textRotation="0" wrapText="0" indent="0" shrinkToFit="0" readingOrder="0"/>
    </dxf>
    <dxf>
      <font>
        <b/>
        <i val="0"/>
        <strike val="0"/>
        <u val="none"/>
        <sz val="12"/>
        <color theme="4"/>
        <name val="Arial"/>
      </font>
    </dxf>
    <dxf>
      <numFmt numFmtId="166" formatCode="&quot;R$&quot;\ #,##0.00"/>
      <fill>
        <patternFill patternType="solid">
          <fgColor indexed="64"/>
          <bgColor theme="0"/>
        </patternFill>
      </fill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numFmt numFmtId="19" formatCode="dd/mm/yyyy"/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font>
        <b/>
        <i val="0"/>
        <strike val="0"/>
        <u val="none"/>
        <sz val="12"/>
        <color theme="4"/>
        <name val="Arial"/>
      </font>
    </dxf>
    <dxf>
      <numFmt numFmtId="166" formatCode="&quot;R$&quot;\ #,##0.00"/>
      <fill>
        <patternFill patternType="solid">
          <fgColor indexed="64"/>
          <bgColor theme="0"/>
        </patternFill>
      </fill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numFmt numFmtId="19" formatCode="dd/mm/yyyy"/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font>
        <b/>
        <i val="0"/>
        <strike val="0"/>
        <u val="none"/>
        <sz val="12"/>
        <color theme="4"/>
        <name val="Arial"/>
      </font>
    </dxf>
    <dxf>
      <numFmt numFmtId="166" formatCode="&quot;R$&quot;\ #,##0.00"/>
      <fill>
        <patternFill patternType="solid">
          <fgColor indexed="64"/>
          <bgColor theme="0"/>
        </patternFill>
      </fill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numFmt numFmtId="19" formatCode="dd/mm/yyyy"/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font>
        <b/>
        <i val="0"/>
        <strike val="0"/>
        <u val="none"/>
        <sz val="12"/>
        <color theme="4"/>
        <name val="Arial"/>
      </font>
    </dxf>
    <dxf>
      <numFmt numFmtId="166" formatCode="&quot;R$&quot;\ #,##0.00"/>
      <fill>
        <patternFill patternType="solid">
          <fgColor indexed="64"/>
          <bgColor theme="0"/>
        </patternFill>
      </fill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numFmt numFmtId="19" formatCode="dd/mm/yyyy"/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font>
        <b/>
        <i val="0"/>
        <strike val="0"/>
        <u val="none"/>
        <sz val="12"/>
        <color theme="4"/>
        <name val="Arial"/>
      </font>
    </dxf>
    <dxf>
      <numFmt numFmtId="166" formatCode="&quot;R$&quot;\ #,##0.00"/>
      <fill>
        <patternFill patternType="solid">
          <fgColor indexed="64"/>
          <bgColor theme="0"/>
        </patternFill>
      </fill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numFmt numFmtId="19" formatCode="dd/mm/yyyy"/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font>
        <b/>
        <i val="0"/>
        <strike val="0"/>
        <u val="none"/>
        <sz val="12"/>
        <color theme="4"/>
        <name val="Arial"/>
      </font>
    </dxf>
    <dxf>
      <numFmt numFmtId="166" formatCode="&quot;R$&quot;\ #,##0.00"/>
      <fill>
        <patternFill patternType="solid">
          <fgColor indexed="64"/>
          <bgColor theme="0"/>
        </patternFill>
      </fill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numFmt numFmtId="19" formatCode="dd/mm/yyyy"/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font>
        <b/>
        <i val="0"/>
        <strike val="0"/>
        <u val="none"/>
        <sz val="12"/>
        <color theme="4"/>
        <name val="Arial"/>
      </font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numFmt numFmtId="19" formatCode="dd/mm/yyyy"/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font>
        <b/>
        <i val="0"/>
        <strike val="0"/>
        <u val="none"/>
        <sz val="12"/>
        <color theme="4"/>
        <name val="Arial"/>
      </font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numFmt numFmtId="19" formatCode="dd/mm/yyyy"/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font>
        <b/>
        <i val="0"/>
        <strike val="0"/>
        <u val="none"/>
        <sz val="12"/>
        <color theme="4"/>
        <name val="Arial"/>
      </font>
    </dxf>
    <dxf>
      <numFmt numFmtId="166" formatCode="&quot;R$&quot;\ #,##0.00"/>
      <fill>
        <patternFill patternType="none">
          <fgColor indexed="64"/>
          <bgColor indexed="65"/>
        </patternFill>
      </fill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numFmt numFmtId="19" formatCode="dd/mm/yyyy"/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font>
        <b/>
        <i val="0"/>
        <strike val="0"/>
        <u val="none"/>
        <sz val="12"/>
        <color theme="4"/>
        <name val="Arial"/>
      </font>
    </dxf>
    <dxf>
      <numFmt numFmtId="166" formatCode="&quot;R$&quot;\ #,##0.00"/>
      <fill>
        <patternFill patternType="solid">
          <fgColor indexed="64"/>
          <bgColor theme="0"/>
        </patternFill>
      </fill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numFmt numFmtId="19" formatCode="dd/mm/yyyy"/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font>
        <b/>
        <i val="0"/>
        <strike val="0"/>
        <u val="none"/>
        <sz val="12"/>
        <color theme="4"/>
        <name val="Arial"/>
      </font>
    </dxf>
    <dxf>
      <numFmt numFmtId="166" formatCode="&quot;R$&quot;\ #,##0.00"/>
      <fill>
        <patternFill patternType="none">
          <fgColor indexed="64"/>
          <bgColor theme="0"/>
        </patternFill>
      </fill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numFmt numFmtId="19" formatCode="dd/mm/yyyy"/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font>
        <b/>
        <i val="0"/>
        <strike val="0"/>
        <u val="none"/>
        <sz val="12"/>
        <color theme="4"/>
        <name val="Arial"/>
      </font>
    </dxf>
    <dxf>
      <numFmt numFmtId="166" formatCode="&quot;R$&quot;\ #,##0.00"/>
      <fill>
        <patternFill patternType="solid">
          <fgColor indexed="64"/>
          <bgColor theme="0"/>
        </patternFill>
      </fill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numFmt numFmtId="19" formatCode="dd/mm/yyyy"/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font>
        <b/>
        <i val="0"/>
        <strike val="0"/>
        <u val="none"/>
        <sz val="12"/>
        <color theme="4"/>
        <name val="Arial"/>
      </font>
    </dxf>
    <dxf>
      <numFmt numFmtId="166" formatCode="&quot;R$&quot;\ #,##0.00"/>
      <fill>
        <patternFill patternType="solid">
          <fgColor indexed="64"/>
          <bgColor theme="0"/>
        </patternFill>
      </fill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numFmt numFmtId="19" formatCode="dd/mm/yyyy"/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font>
        <b/>
        <i val="0"/>
        <strike val="0"/>
        <u val="none"/>
        <sz val="12"/>
        <color theme="4"/>
        <name val="Arial"/>
      </font>
    </dxf>
    <dxf>
      <numFmt numFmtId="166" formatCode="&quot;R$&quot;\ #,##0.00"/>
      <fill>
        <patternFill patternType="solid">
          <fgColor indexed="64"/>
          <bgColor theme="0"/>
        </patternFill>
      </fill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numFmt numFmtId="19" formatCode="dd/mm/yyyy"/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font>
        <b/>
        <i val="0"/>
        <strike val="0"/>
        <u val="none"/>
        <sz val="12"/>
        <color theme="4"/>
        <name val="Arial"/>
      </font>
    </dxf>
    <dxf>
      <numFmt numFmtId="166" formatCode="&quot;R$&quot;\ #,##0.00"/>
      <fill>
        <patternFill patternType="solid">
          <fgColor indexed="64"/>
          <bgColor theme="0"/>
        </patternFill>
      </fill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numFmt numFmtId="19" formatCode="dd/mm/yyyy"/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font>
        <b/>
        <i val="0"/>
        <strike val="0"/>
        <u val="none"/>
        <sz val="12"/>
        <color theme="4"/>
        <name val="Arial"/>
      </font>
    </dxf>
    <dxf>
      <numFmt numFmtId="166" formatCode="&quot;R$&quot;\ #,##0.00"/>
      <fill>
        <patternFill patternType="solid">
          <fgColor indexed="64"/>
          <bgColor theme="0"/>
        </patternFill>
      </fill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numFmt numFmtId="19" formatCode="dd/mm/yyyy"/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font>
        <b/>
        <i val="0"/>
        <strike val="0"/>
        <u val="none"/>
        <sz val="12"/>
        <color theme="4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numFmt numFmtId="19" formatCode="dd/mm/yyyy"/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font>
        <b/>
        <i val="0"/>
        <strike val="0"/>
        <u val="none"/>
        <sz val="12"/>
        <color theme="4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numFmt numFmtId="166" formatCode="&quot;R$&quot;\ #,##0.00"/>
      <alignment horizontal="left" vertical="bottom" textRotation="0" wrapText="0" indent="0" shrinkToFit="0" readingOrder="0"/>
    </dxf>
    <dxf>
      <numFmt numFmtId="19" formatCode="dd/mm/yyyy"/>
      <alignment horizontal="left" vertical="bottom" textRotation="0" wrapText="0" indent="0" shrinkToFit="0" readingOrder="0"/>
    </dxf>
    <dxf>
      <font>
        <i val="0"/>
        <strike val="0"/>
        <u val="none"/>
        <sz val="12"/>
        <color theme="3" tint="0.39988402966399123"/>
        <name val="Arial"/>
      </font>
    </dxf>
    <dxf>
      <font>
        <color theme="4"/>
      </font>
    </dxf>
    <dxf>
      <font>
        <b/>
        <i val="0"/>
        <color theme="3" tint="0.39988402966399123"/>
      </font>
    </dxf>
  </dxfs>
  <tableStyles count="1" defaultTableStyle="TableStyleMedium2" defaultPivotStyle="PivotStyleLight16">
    <tableStyle name="Tabela de orçamento" pivot="0" count="2" xr9:uid="{00000000-0011-0000-FFFF-FFFF00000000}">
      <tableStyleElement type="wholeTable" dxfId="145"/>
      <tableStyleElement type="headerRow" dxfId="14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3" Type="http://schemas.openxmlformats.org/officeDocument/2006/relationships/worksheet" Target="worksheets/sheet3.xml" /><Relationship Id="rId21" Type="http://schemas.openxmlformats.org/officeDocument/2006/relationships/styles" Target="style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calcChain" Target="calcChain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249999999999997E-2"/>
          <c:y val="4.6249999999999999E-2"/>
          <c:w val="0.83550000000000002"/>
          <c:h val="0.89049999999999996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explosion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/>
              </a:gra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406-47E9-983F-079AA4A64A3A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406-47E9-983F-079AA4A64A3A}"/>
              </c:ext>
            </c:extLst>
          </c:dPt>
          <c:val>
            <c:numRef>
              <c:f>'Dados do gráfico'!$B$4:$B$5</c:f>
              <c:numCache>
                <c:formatCode>0%</c:formatCode>
                <c:ptCount val="2"/>
                <c:pt idx="0">
                  <c:v>1.2990315865689106E-2</c:v>
                </c:pt>
                <c:pt idx="1">
                  <c:v>0.98700968413431089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1-BA49-A661-E737E8C47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>
      <a:noFill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249999999999997E-2"/>
          <c:y val="4.6249999999999999E-2"/>
          <c:w val="0.83550000000000002"/>
          <c:h val="0.89049999999999996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explosion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/>
              </a:gra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AB-4F39-A329-D880FB2216EB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AB-4F39-A329-D880FB2216EB}"/>
              </c:ext>
            </c:extLst>
          </c:dPt>
          <c:val>
            <c:numRef>
              <c:f>'Dados do gráfico'!$B$4:$B$5</c:f>
              <c:numCache>
                <c:formatCode>0%</c:formatCode>
                <c:ptCount val="2"/>
                <c:pt idx="0">
                  <c:v>1.2990315865689106E-2</c:v>
                </c:pt>
                <c:pt idx="1">
                  <c:v>0.98700968413431089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AB-4F39-A329-D880FB221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>
      <a:noFill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249999999999997E-2"/>
          <c:y val="4.6249999999999999E-2"/>
          <c:w val="0.83550000000000002"/>
          <c:h val="0.89049999999999996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explosion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/>
              </a:gra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B90-48C3-915E-C6543C534BA1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B90-48C3-915E-C6543C534BA1}"/>
              </c:ext>
            </c:extLst>
          </c:dPt>
          <c:val>
            <c:numRef>
              <c:f>'Dados do gráfico'!$B$4:$B$5</c:f>
              <c:numCache>
                <c:formatCode>0%</c:formatCode>
                <c:ptCount val="2"/>
                <c:pt idx="0">
                  <c:v>1.2990315865689106E-2</c:v>
                </c:pt>
                <c:pt idx="1">
                  <c:v>0.98700968413431089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90-48C3-915E-C6543C534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>
      <a:noFill/>
      <a:round/>
    </a:ln>
    <a:effectLst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249999999999997E-2"/>
          <c:y val="4.6249999999999999E-2"/>
          <c:w val="0.83550000000000002"/>
          <c:h val="0.89049999999999996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explosion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/>
              </a:gra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DB2-45A7-91D5-A123F75B4D2E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DB2-45A7-91D5-A123F75B4D2E}"/>
              </c:ext>
            </c:extLst>
          </c:dPt>
          <c:val>
            <c:numRef>
              <c:f>'Dados do gráfico'!$B$4:$B$5</c:f>
              <c:numCache>
                <c:formatCode>0%</c:formatCode>
                <c:ptCount val="2"/>
                <c:pt idx="0">
                  <c:v>1.2990315865689106E-2</c:v>
                </c:pt>
                <c:pt idx="1">
                  <c:v>0.98700968413431089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26-114D-A8D9-7F70BE96E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>
      <a:noFill/>
      <a:round/>
    </a:ln>
    <a:effectLst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249999999999997E-2"/>
          <c:y val="4.6249999999999999E-2"/>
          <c:w val="0.83550000000000002"/>
          <c:h val="0.89049999999999996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explosion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/>
              </a:gra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E9B-4DBE-B582-D7B11DB911BD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E9B-4DBE-B582-D7B11DB911BD}"/>
              </c:ext>
            </c:extLst>
          </c:dPt>
          <c:val>
            <c:numRef>
              <c:f>'Dados do gráfico'!$B$4:$B$5</c:f>
              <c:numCache>
                <c:formatCode>0%</c:formatCode>
                <c:ptCount val="2"/>
                <c:pt idx="0">
                  <c:v>1.2990315865689106E-2</c:v>
                </c:pt>
                <c:pt idx="1">
                  <c:v>0.98700968413431089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53-6844-A7E5-76132EFE5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>
      <a:noFill/>
      <a:round/>
    </a:ln>
    <a:effectLst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249999999999997E-2"/>
          <c:y val="4.6249999999999999E-2"/>
          <c:w val="0.83550000000000002"/>
          <c:h val="0.89049999999999996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explosion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/>
              </a:gra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209-4EE9-8B7C-673D0FEB1AAA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209-4EE9-8B7C-673D0FEB1AAA}"/>
              </c:ext>
            </c:extLst>
          </c:dPt>
          <c:val>
            <c:numRef>
              <c:f>'Dados do gráfico'!$B$4:$B$5</c:f>
              <c:numCache>
                <c:formatCode>0%</c:formatCode>
                <c:ptCount val="2"/>
                <c:pt idx="0">
                  <c:v>1.2990315865689106E-2</c:v>
                </c:pt>
                <c:pt idx="1">
                  <c:v>0.98700968413431089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09-4EE9-8B7C-673D0FEB1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>
      <a:noFill/>
      <a:round/>
    </a:ln>
    <a:effectLst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249999999999997E-2"/>
          <c:y val="4.6249999999999999E-2"/>
          <c:w val="0.83550000000000002"/>
          <c:h val="0.89049999999999996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explosion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/>
              </a:gra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161-4CA8-82AD-7219DB038C11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161-4CA8-82AD-7219DB038C11}"/>
              </c:ext>
            </c:extLst>
          </c:dPt>
          <c:val>
            <c:numRef>
              <c:f>'Dados do gráfico'!$B$4:$B$5</c:f>
              <c:numCache>
                <c:formatCode>0%</c:formatCode>
                <c:ptCount val="2"/>
                <c:pt idx="0">
                  <c:v>1.2990315865689106E-2</c:v>
                </c:pt>
                <c:pt idx="1">
                  <c:v>0.98700968413431089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61-4CA8-82AD-7219DB038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>
      <a:noFill/>
      <a:round/>
    </a:ln>
    <a:effectLst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249999999999997E-2"/>
          <c:y val="4.6249999999999999E-2"/>
          <c:w val="0.83550000000000002"/>
          <c:h val="0.89049999999999996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explosion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/>
              </a:gra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D2F-4846-B8A8-5E7C6C9707D5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D2F-4846-B8A8-5E7C6C9707D5}"/>
              </c:ext>
            </c:extLst>
          </c:dPt>
          <c:val>
            <c:numRef>
              <c:f>'Dados do gráfico'!$B$4:$B$5</c:f>
              <c:numCache>
                <c:formatCode>0%</c:formatCode>
                <c:ptCount val="2"/>
                <c:pt idx="0">
                  <c:v>1.2990315865689106E-2</c:v>
                </c:pt>
                <c:pt idx="1">
                  <c:v>0.98700968413431089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2F-4846-B8A8-5E7C6C970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>
      <a:noFill/>
      <a:round/>
    </a:ln>
    <a:effectLst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249999999999997E-2"/>
          <c:y val="4.6249999999999999E-2"/>
          <c:w val="0.83550000000000002"/>
          <c:h val="0.89049999999999996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explosion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/>
              </a:gra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/>
          </c:dPt>
          <c:dPt>
            <c:idx val="1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/>
          </c:dPt>
          <c:val>
            <c:numRef>
              <c:f>'Dados do gráfico'!$B$4:$B$5</c:f>
              <c:numCache>
                <c:formatCode>0%</c:formatCode>
                <c:ptCount val="2"/>
                <c:pt idx="0">
                  <c:v>1.2990315865689106E-2</c:v>
                </c:pt>
                <c:pt idx="1">
                  <c:v>0.98700968413431089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4-D34A-B711-089A240E7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>
      <a:noFill/>
      <a:round/>
    </a:ln>
    <a:effectLst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249999999999997E-2"/>
          <c:y val="4.6249999999999999E-2"/>
          <c:w val="0.83550000000000002"/>
          <c:h val="0.89049999999999996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explosion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/>
              </a:gra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/>
          </c:dPt>
          <c:dPt>
            <c:idx val="1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/>
          </c:dPt>
          <c:val>
            <c:numRef>
              <c:f>'Dados do gráfico'!$B$4:$B$5</c:f>
              <c:numCache>
                <c:formatCode>0%</c:formatCode>
                <c:ptCount val="2"/>
                <c:pt idx="0">
                  <c:v>1.2990315865689106E-2</c:v>
                </c:pt>
                <c:pt idx="1">
                  <c:v>0.98700968413431089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2-9D44-B55A-9E8F2EA76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>
      <a:noFill/>
      <a:round/>
    </a:ln>
    <a:effectLst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249999999999997E-2"/>
          <c:y val="4.6249999999999999E-2"/>
          <c:w val="0.83550000000000002"/>
          <c:h val="0.89049999999999996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explosion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/>
              </a:gra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/>
          </c:dPt>
          <c:dPt>
            <c:idx val="1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/>
          </c:dPt>
          <c:val>
            <c:numRef>
              <c:f>'Dados do gráfico'!$B$4:$B$5</c:f>
              <c:numCache>
                <c:formatCode>0%</c:formatCode>
                <c:ptCount val="2"/>
                <c:pt idx="0">
                  <c:v>1.2990315865689106E-2</c:v>
                </c:pt>
                <c:pt idx="1">
                  <c:v>0.98700968413431089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2-A84E-9F44-DB8D1F21C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>
      <a:noFill/>
      <a:round/>
    </a:ln>
    <a:effectLst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249999999999997E-2"/>
          <c:y val="4.6249999999999999E-2"/>
          <c:w val="0.83550000000000002"/>
          <c:h val="0.89049999999999996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explosion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/>
              </a:gra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/>
          </c:dPt>
          <c:dPt>
            <c:idx val="1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/>
          </c:dPt>
          <c:val>
            <c:numRef>
              <c:f>'Dados do gráfico'!$B$4:$B$5</c:f>
              <c:numCache>
                <c:formatCode>0%</c:formatCode>
                <c:ptCount val="2"/>
                <c:pt idx="0">
                  <c:v>1.2990315865689106E-2</c:v>
                </c:pt>
                <c:pt idx="1">
                  <c:v>0.98700968413431089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94-714C-917C-464F51E8E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>
      <a:noFill/>
      <a:round/>
    </a:ln>
    <a:effectLst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249999999999997E-2"/>
          <c:y val="4.6249999999999999E-2"/>
          <c:w val="0.83550000000000002"/>
          <c:h val="0.89049999999999996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explosion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/>
              </a:gra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/>
          </c:dPt>
          <c:dPt>
            <c:idx val="1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/>
          </c:dPt>
          <c:val>
            <c:numRef>
              <c:f>'Dados do gráfico'!$B$4:$B$5</c:f>
              <c:numCache>
                <c:formatCode>0%</c:formatCode>
                <c:ptCount val="2"/>
                <c:pt idx="0">
                  <c:v>1.2990315865689106E-2</c:v>
                </c:pt>
                <c:pt idx="1">
                  <c:v>0.98700968413431089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A5-4F40-9F9F-8520F2B18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>
      <a:noFill/>
      <a:round/>
    </a:ln>
    <a:effectLst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249999999999997E-2"/>
          <c:y val="4.6249999999999999E-2"/>
          <c:w val="0.83550000000000002"/>
          <c:h val="0.89049999999999996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explosion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/>
              </a:gra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/>
          </c:dPt>
          <c:dPt>
            <c:idx val="1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/>
          </c:dPt>
          <c:val>
            <c:numRef>
              <c:f>'Dados do gráfico'!$B$4:$B$5</c:f>
              <c:numCache>
                <c:formatCode>0%</c:formatCode>
                <c:ptCount val="2"/>
                <c:pt idx="0">
                  <c:v>1.2990315865689106E-2</c:v>
                </c:pt>
                <c:pt idx="1">
                  <c:v>0.98700968413431089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8D-AF4A-ACC1-9131FEE4A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>
      <a:noFill/>
      <a:round/>
    </a:ln>
    <a:effectLst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249999999999997E-2"/>
          <c:y val="4.6249999999999999E-2"/>
          <c:w val="0.83550000000000002"/>
          <c:h val="0.89049999999999996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explosion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/>
              </a:gra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/>
          </c:dPt>
          <c:dPt>
            <c:idx val="1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/>
          </c:dPt>
          <c:val>
            <c:numRef>
              <c:f>'Dados do gráfico'!$B$4:$B$5</c:f>
              <c:numCache>
                <c:formatCode>0%</c:formatCode>
                <c:ptCount val="2"/>
                <c:pt idx="0">
                  <c:v>1.2990315865689106E-2</c:v>
                </c:pt>
                <c:pt idx="1">
                  <c:v>0.98700968413431089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A3-3F47-8BB4-43AF9A12E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>
      <a:noFill/>
      <a:round/>
    </a:ln>
    <a:effectLst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249999999999997E-2"/>
          <c:y val="4.6249999999999999E-2"/>
          <c:w val="0.83550000000000002"/>
          <c:h val="0.89049999999999996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explosion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/>
              </a:gra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/>
          </c:dPt>
          <c:dPt>
            <c:idx val="1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/>
          </c:dPt>
          <c:val>
            <c:numRef>
              <c:f>'Dados do gráfico'!$B$4:$B$5</c:f>
              <c:numCache>
                <c:formatCode>0%</c:formatCode>
                <c:ptCount val="2"/>
                <c:pt idx="0">
                  <c:v>1.2990315865689106E-2</c:v>
                </c:pt>
                <c:pt idx="1">
                  <c:v>0.98700968413431089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AA-A747-84CD-3E8D7F3F4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>
      <a:noFill/>
      <a:round/>
    </a:ln>
    <a:effectLst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249999999999997E-2"/>
          <c:y val="4.6249999999999999E-2"/>
          <c:w val="0.83550000000000002"/>
          <c:h val="0.89049999999999996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explosion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/>
              </a:gra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/>
          </c:dPt>
          <c:dPt>
            <c:idx val="1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/>
          </c:dPt>
          <c:val>
            <c:numRef>
              <c:f>'Dados do gráfico'!$B$4:$B$5</c:f>
              <c:numCache>
                <c:formatCode>0%</c:formatCode>
                <c:ptCount val="2"/>
                <c:pt idx="0">
                  <c:v>1.2990315865689106E-2</c:v>
                </c:pt>
                <c:pt idx="1">
                  <c:v>0.98700968413431089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E-D445-B725-1B32C4341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>
      <a:noFill/>
      <a:round/>
    </a:ln>
    <a:effectLst/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249999999999997E-2"/>
          <c:y val="4.6249999999999999E-2"/>
          <c:w val="0.83550000000000002"/>
          <c:h val="0.89049999999999996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explosion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/>
              </a:gra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/>
          </c:dPt>
          <c:dPt>
            <c:idx val="1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57150" dist="19050" dir="5400000" algn="ctr" rotWithShape="0">
                  <a:prstClr val="black">
                    <a:alpha val="63000"/>
                  </a:prstClr>
                </a:outerShdw>
              </a:effectLst>
            </c:spPr>
            <c:extLst/>
          </c:dPt>
          <c:val>
            <c:numRef>
              <c:f>'Dados do gráfico'!$B$4:$B$5</c:f>
              <c:numCache>
                <c:formatCode>0%</c:formatCode>
                <c:ptCount val="2"/>
                <c:pt idx="0">
                  <c:v>1.2990315865689106E-2</c:v>
                </c:pt>
                <c:pt idx="1">
                  <c:v>0.98700968413431089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3-B949-A51E-14EE7F77B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>
      <a:noFill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 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 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 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 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 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 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 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 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 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 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 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 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 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 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2</xdr:row>
      <xdr:rowOff>7620</xdr:rowOff>
    </xdr:from>
    <xdr:to>
      <xdr:col>1</xdr:col>
      <xdr:colOff>3108959</xdr:colOff>
      <xdr:row>10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2</xdr:row>
      <xdr:rowOff>7620</xdr:rowOff>
    </xdr:from>
    <xdr:to>
      <xdr:col>1</xdr:col>
      <xdr:colOff>3108959</xdr:colOff>
      <xdr:row>10</xdr:row>
      <xdr:rowOff>7620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27A2F37E-80DB-4EA2-BBDE-DA301F9761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2</xdr:row>
      <xdr:rowOff>7620</xdr:rowOff>
    </xdr:from>
    <xdr:to>
      <xdr:col>1</xdr:col>
      <xdr:colOff>3108959</xdr:colOff>
      <xdr:row>10</xdr:row>
      <xdr:rowOff>7620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95F17CD7-C632-4660-A8CD-428F680C71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2</xdr:row>
      <xdr:rowOff>7620</xdr:rowOff>
    </xdr:from>
    <xdr:to>
      <xdr:col>1</xdr:col>
      <xdr:colOff>3108959</xdr:colOff>
      <xdr:row>10</xdr:row>
      <xdr:rowOff>7620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7B9D2360-9A91-3E42-8371-2C01DC69F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2</xdr:row>
      <xdr:rowOff>7620</xdr:rowOff>
    </xdr:from>
    <xdr:to>
      <xdr:col>1</xdr:col>
      <xdr:colOff>3108959</xdr:colOff>
      <xdr:row>10</xdr:row>
      <xdr:rowOff>7620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F86AF68D-D1EE-F541-9CD5-64B5A857E9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2</xdr:row>
      <xdr:rowOff>7620</xdr:rowOff>
    </xdr:from>
    <xdr:to>
      <xdr:col>1</xdr:col>
      <xdr:colOff>3108959</xdr:colOff>
      <xdr:row>10</xdr:row>
      <xdr:rowOff>7620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AE7E8B19-61DE-42D9-AEF0-6B4AEEDB1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2</xdr:row>
      <xdr:rowOff>7620</xdr:rowOff>
    </xdr:from>
    <xdr:to>
      <xdr:col>1</xdr:col>
      <xdr:colOff>3108959</xdr:colOff>
      <xdr:row>10</xdr:row>
      <xdr:rowOff>7620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FD30F025-B9DF-4A6C-B5C4-AED0361668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2</xdr:row>
      <xdr:rowOff>7620</xdr:rowOff>
    </xdr:from>
    <xdr:to>
      <xdr:col>1</xdr:col>
      <xdr:colOff>3108959</xdr:colOff>
      <xdr:row>10</xdr:row>
      <xdr:rowOff>7620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B5BEBCFA-DC86-44D8-BF2A-7F3A778F32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2</xdr:row>
      <xdr:rowOff>7620</xdr:rowOff>
    </xdr:from>
    <xdr:to>
      <xdr:col>1</xdr:col>
      <xdr:colOff>3108959</xdr:colOff>
      <xdr:row>10</xdr:row>
      <xdr:rowOff>7620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223BC6D4-367A-AD49-885C-612870D31A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2</xdr:row>
      <xdr:rowOff>7620</xdr:rowOff>
    </xdr:from>
    <xdr:to>
      <xdr:col>1</xdr:col>
      <xdr:colOff>3108959</xdr:colOff>
      <xdr:row>10</xdr:row>
      <xdr:rowOff>7620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83127692-E6CE-604B-9691-C0020C4ECC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2</xdr:row>
      <xdr:rowOff>7620</xdr:rowOff>
    </xdr:from>
    <xdr:to>
      <xdr:col>1</xdr:col>
      <xdr:colOff>3108959</xdr:colOff>
      <xdr:row>10</xdr:row>
      <xdr:rowOff>7620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6E25A394-567F-E347-9920-C7A7D83501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2</xdr:row>
      <xdr:rowOff>7620</xdr:rowOff>
    </xdr:from>
    <xdr:to>
      <xdr:col>1</xdr:col>
      <xdr:colOff>3108959</xdr:colOff>
      <xdr:row>10</xdr:row>
      <xdr:rowOff>7620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CECEB6E2-13AA-5D49-BD5A-82FC65D352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2</xdr:row>
      <xdr:rowOff>7620</xdr:rowOff>
    </xdr:from>
    <xdr:to>
      <xdr:col>1</xdr:col>
      <xdr:colOff>3108959</xdr:colOff>
      <xdr:row>10</xdr:row>
      <xdr:rowOff>7620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F36447E9-FBFD-4641-BE8F-3C7C9B4A04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2</xdr:row>
      <xdr:rowOff>7620</xdr:rowOff>
    </xdr:from>
    <xdr:to>
      <xdr:col>1</xdr:col>
      <xdr:colOff>3108959</xdr:colOff>
      <xdr:row>10</xdr:row>
      <xdr:rowOff>7620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5D5AB979-40A5-E345-8BBD-EF547AA601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2</xdr:row>
      <xdr:rowOff>7620</xdr:rowOff>
    </xdr:from>
    <xdr:to>
      <xdr:col>1</xdr:col>
      <xdr:colOff>3108959</xdr:colOff>
      <xdr:row>10</xdr:row>
      <xdr:rowOff>7620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DB4A530B-920D-F94B-8131-E0457BFEA8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2</xdr:row>
      <xdr:rowOff>7620</xdr:rowOff>
    </xdr:from>
    <xdr:to>
      <xdr:col>1</xdr:col>
      <xdr:colOff>3108959</xdr:colOff>
      <xdr:row>10</xdr:row>
      <xdr:rowOff>7620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9CBA176F-2508-1D4B-85A0-3DA7BBAB83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2</xdr:row>
      <xdr:rowOff>7620</xdr:rowOff>
    </xdr:from>
    <xdr:to>
      <xdr:col>1</xdr:col>
      <xdr:colOff>3108959</xdr:colOff>
      <xdr:row>10</xdr:row>
      <xdr:rowOff>7620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B65F5824-1D35-7E45-BF22-11E1309D39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2</xdr:row>
      <xdr:rowOff>7620</xdr:rowOff>
    </xdr:from>
    <xdr:to>
      <xdr:col>1</xdr:col>
      <xdr:colOff>3108959</xdr:colOff>
      <xdr:row>10</xdr:row>
      <xdr:rowOff>7620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023BFAAA-BF6A-1747-9D66-E6E6ACC008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Economias" displayName="Economias" ref="B35:C38" totalsRowShown="0" headerRowDxfId="143">
  <autoFilter ref="B35:C38" xr:uid="{00000000-0009-0000-0100-000003000000}"/>
  <tableColumns count="2">
    <tableColumn id="1" xr3:uid="{00000000-0010-0000-0000-000001000000}" name="Data" dataDxfId="142"/>
    <tableColumn id="2" xr3:uid="{00000000-0010-0000-0000-000002000000}" name="Valor" dataDxfId="141"/>
  </tableColumns>
  <tableStyleInfo name="Tabela de orçamento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spesas" displayName="Despesas" ref="B19:C33" totalsRowShown="0" headerRowDxfId="140">
  <autoFilter ref="B19:C33" xr:uid="{00000000-0009-0000-0100-000002000000}"/>
  <tableColumns count="2">
    <tableColumn id="1" xr3:uid="{00000000-0010-0000-0100-000001000000}" name="Item"/>
    <tableColumn id="2" xr3:uid="{00000000-0010-0000-0100-000002000000}" name="Valor" dataDxfId="139"/>
  </tableColumns>
  <tableStyleInfo name="Tabela de orçamento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Renda" displayName="Renda" ref="B13:C16" totalsRowShown="0" headerRowDxfId="138">
  <autoFilter ref="B13:C16" xr:uid="{00000000-0009-0000-0100-000001000000}"/>
  <tableColumns count="2">
    <tableColumn id="1" xr3:uid="{00000000-0010-0000-0200-000001000000}" name="Item" totalsRowLabel="Total"/>
    <tableColumn id="2" xr3:uid="{00000000-0010-0000-0200-000002000000}" name="Valor" totalsRowFunction="sum" dataDxfId="137"/>
  </tableColumns>
  <tableStyleInfo name="Tabela de orçamento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8AD4AF-AECD-4060-85B9-9CB7597F0B76}" name="Economias5" displayName="Economias5" ref="B37:C40" totalsRowShown="0" headerRowDxfId="136">
  <autoFilter ref="B37:C40" xr:uid="{00000000-0009-0000-0100-000003000000}"/>
  <tableColumns count="2">
    <tableColumn id="1" xr3:uid="{245FEF3D-795B-4996-AF30-BC6D4360D32A}" name="Data" dataDxfId="135"/>
    <tableColumn id="2" xr3:uid="{A5E269C7-61BB-4549-B8F9-0F318D9D2B2B}" name="Valor" dataDxfId="134"/>
  </tableColumns>
  <tableStyleInfo name="Tabela de orçamento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8F5B64-A4E6-4E95-9D8B-DEF835D06649}" name="Despesas6" displayName="Despesas6" ref="B19:C35" totalsRowShown="0" headerRowDxfId="133">
  <autoFilter ref="B19:C35" xr:uid="{00000000-0009-0000-0100-000002000000}"/>
  <tableColumns count="2">
    <tableColumn id="1" xr3:uid="{2CF01E54-1876-48BB-A726-98034F00E710}" name="Item"/>
    <tableColumn id="2" xr3:uid="{33EE48D2-82E8-4EBC-A2F7-4A2576524D22}" name="Valor" dataDxfId="132"/>
  </tableColumns>
  <tableStyleInfo name="Tabela de orçamento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2EB505A-EE71-4879-9C8A-CED8A1DD8B87}" name="Renda7" displayName="Renda7" ref="B13:C16" totalsRowShown="0" headerRowDxfId="131">
  <autoFilter ref="B13:C16" xr:uid="{00000000-0009-0000-0100-000001000000}"/>
  <tableColumns count="2">
    <tableColumn id="1" xr3:uid="{947BFD94-B761-4F42-A0CF-B0C9662A88CA}" name="Item" totalsRowLabel="Total"/>
    <tableColumn id="2" xr3:uid="{8D8F3E82-2E1C-4101-A66B-80F213EB7266}" name="Valor" totalsRowFunction="sum" dataDxfId="130"/>
  </tableColumns>
  <tableStyleInfo name="Tabela de orçamento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0A2B50F-68D5-4162-87C8-D1EB11A0ED78}" name="Economias58" displayName="Economias58" ref="B37:C40" totalsRowShown="0" headerRowDxfId="129">
  <autoFilter ref="B37:C40" xr:uid="{00000000-0009-0000-0100-000003000000}"/>
  <tableColumns count="2">
    <tableColumn id="1" xr3:uid="{114FE78B-D22B-402E-937C-557495CD06B4}" name="Data" dataDxfId="128"/>
    <tableColumn id="2" xr3:uid="{FDC4D7DD-1896-49D5-9829-46828768B64A}" name="Valor" dataDxfId="127"/>
  </tableColumns>
  <tableStyleInfo name="Tabela de orçamento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6EA189F-3443-4B16-AC9F-B78EE6CDE382}" name="Despesas69" displayName="Despesas69" ref="B19:C35" totalsRowShown="0" headerRowDxfId="126">
  <autoFilter ref="B19:C35" xr:uid="{00000000-0009-0000-0100-000002000000}"/>
  <tableColumns count="2">
    <tableColumn id="1" xr3:uid="{B8683227-5408-4FFE-A6A9-2BED9CB142F2}" name="Item"/>
    <tableColumn id="2" xr3:uid="{FB91EF39-398E-4F8D-A5F9-5C388F6C40E6}" name="Valor" dataDxfId="125"/>
  </tableColumns>
  <tableStyleInfo name="Tabela de orçamento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53BF082-7AF6-4530-8B95-79D2BEF8F704}" name="Renda710" displayName="Renda710" ref="B13:C16" totalsRowShown="0" headerRowDxfId="124">
  <autoFilter ref="B13:C16" xr:uid="{00000000-0009-0000-0100-000001000000}"/>
  <tableColumns count="2">
    <tableColumn id="1" xr3:uid="{05C211CE-77EB-4FC2-8272-CBECE974E717}" name="Item" totalsRowLabel="Total"/>
    <tableColumn id="2" xr3:uid="{4F16D174-29D0-40C6-9AF9-36701031B93A}" name="Valor" totalsRowFunction="sum" dataDxfId="123"/>
  </tableColumns>
  <tableStyleInfo name="Tabela de orçamento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3A94B6B-F0DA-A048-AB2F-C553E79C29D7}" name="Economias5811" displayName="Economias5811" ref="B38:C41" totalsRowShown="0" headerRowDxfId="122">
  <autoFilter ref="B38:C41" xr:uid="{00000000-0009-0000-0100-000003000000}"/>
  <tableColumns count="2">
    <tableColumn id="1" xr3:uid="{7905C227-6372-EA4C-9239-CB36183FED94}" name="Data" dataDxfId="121"/>
    <tableColumn id="2" xr3:uid="{6538921A-FA13-A240-9631-C81C6A29D47B}" name="Valor" dataDxfId="120"/>
  </tableColumns>
  <tableStyleInfo name="Tabela de orçamento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A9CB2FE-49D3-DB47-9FC8-F3D5356A13C4}" name="Despesas6912" displayName="Despesas6912" ref="B19:C36" totalsRowShown="0" headerRowDxfId="119">
  <autoFilter ref="B19:C36" xr:uid="{00000000-0009-0000-0100-000002000000}"/>
  <tableColumns count="2">
    <tableColumn id="1" xr3:uid="{EF348B2A-61BE-5049-8A05-5C4C836D799E}" name="Item"/>
    <tableColumn id="2" xr3:uid="{D7A69FDE-FA69-0E41-9301-0F895D143F56}" name="Valor" dataDxfId="118"/>
  </tableColumns>
  <tableStyleInfo name="Tabela de orçamento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DA882B9-D89C-6345-9055-99290570DC33}" name="Renda71013" displayName="Renda71013" ref="B13:C16" totalsRowShown="0" headerRowDxfId="117">
  <autoFilter ref="B13:C16" xr:uid="{00000000-0009-0000-0100-000001000000}"/>
  <tableColumns count="2">
    <tableColumn id="1" xr3:uid="{BC7498E3-5050-484B-B74A-3991B9D25349}" name="Item" totalsRowLabel="Total"/>
    <tableColumn id="2" xr3:uid="{6BB6607D-79E8-114A-884E-142B1D188C85}" name="Valor" totalsRowFunction="sum" dataDxfId="116"/>
  </tableColumns>
  <tableStyleInfo name="Tabela de orçamento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AEA25C2-2911-4D45-A905-614FCE6CFF62}" name="Economias581114" displayName="Economias581114" ref="B38:C41" totalsRowShown="0" headerRowDxfId="115">
  <autoFilter ref="B38:C41" xr:uid="{00000000-0009-0000-0100-000003000000}"/>
  <tableColumns count="2">
    <tableColumn id="1" xr3:uid="{AC5A0204-4A0B-2145-86AC-C19CE3C397A3}" name="Data" dataDxfId="114"/>
    <tableColumn id="2" xr3:uid="{EEE60CDF-305E-914D-AA0D-7B6318C8001E}" name="Valor" dataDxfId="113"/>
  </tableColumns>
  <tableStyleInfo name="Tabela de orçamento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3572D35-D4DD-6C40-9A21-4E99C9A47D45}" name="Despesas691215" displayName="Despesas691215" ref="B19:C36" totalsRowShown="0" headerRowDxfId="112">
  <autoFilter ref="B19:C36" xr:uid="{00000000-0009-0000-0100-000002000000}"/>
  <tableColumns count="2">
    <tableColumn id="1" xr3:uid="{9F92E5E7-D84B-654F-A910-EFB4DC3722B9}" name="Item"/>
    <tableColumn id="2" xr3:uid="{1569476A-86F1-E344-8A91-3643625C3C83}" name="Valor" dataDxfId="111"/>
  </tableColumns>
  <tableStyleInfo name="Tabela de orçamento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866C437-46E3-B94D-9430-48CC2FE331BA}" name="Renda7101316" displayName="Renda7101316" ref="B13:C16" totalsRowShown="0" headerRowDxfId="110">
  <autoFilter ref="B13:C16" xr:uid="{00000000-0009-0000-0100-000001000000}"/>
  <tableColumns count="2">
    <tableColumn id="1" xr3:uid="{6EFCEFDF-72B7-A54D-897B-851D7F5EDFE6}" name="Item" totalsRowLabel="Total"/>
    <tableColumn id="2" xr3:uid="{8E9F4A67-8B28-3744-96BD-39A3CB6F3A2C}" name="Valor" totalsRowFunction="sum" dataDxfId="109"/>
  </tableColumns>
  <tableStyleInfo name="Tabela de orçamento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152542-1940-45FF-8FC7-98C25EAE376D}" name="Economias58111417" displayName="Economias58111417" ref="B38:C41" totalsRowShown="0" headerRowDxfId="108">
  <autoFilter ref="B38:C41" xr:uid="{00000000-0009-0000-0100-000003000000}"/>
  <tableColumns count="2">
    <tableColumn id="1" xr3:uid="{56F0519F-984B-4AF1-9A56-0E7E28279365}" name="Data" dataDxfId="107"/>
    <tableColumn id="2" xr3:uid="{6E1F868B-DEA7-4358-9833-0F391DB03CA4}" name="Valor" dataDxfId="106"/>
  </tableColumns>
  <tableStyleInfo name="Tabela de orçamento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8D2C288-760A-4553-BE19-5B18A3BC8270}" name="Despesas69121518" displayName="Despesas69121518" ref="B19:C36" totalsRowShown="0" headerRowDxfId="105">
  <autoFilter ref="B19:C36" xr:uid="{00000000-0009-0000-0100-000002000000}"/>
  <tableColumns count="2">
    <tableColumn id="1" xr3:uid="{45CDD324-2E8E-43F9-9225-8D0EEE7DB9C2}" name="Item"/>
    <tableColumn id="2" xr3:uid="{063B3B56-42D8-4212-99FF-1825C4B7FFE2}" name="Valor" dataDxfId="104"/>
  </tableColumns>
  <tableStyleInfo name="Tabela de orçamento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4BC598F-6462-4148-AED6-9B373435CA42}" name="Renda710131619" displayName="Renda710131619" ref="B13:C16" totalsRowShown="0" headerRowDxfId="103">
  <autoFilter ref="B13:C16" xr:uid="{00000000-0009-0000-0100-000001000000}"/>
  <tableColumns count="2">
    <tableColumn id="1" xr3:uid="{34D0375C-56B7-4E4D-A162-8ECCC2B3E656}" name="Item" totalsRowLabel="Total"/>
    <tableColumn id="2" xr3:uid="{FE2B32CE-9AB4-41F5-8795-5FCE720CC5CF}" name="Valor" totalsRowFunction="sum" dataDxfId="102"/>
  </tableColumns>
  <tableStyleInfo name="Tabela de orçamento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B94AE74-2CCF-45BC-9073-FDFF0ACD11CB}" name="Economias5811141720" displayName="Economias5811141720" ref="B38:C41" totalsRowShown="0" headerRowDxfId="101">
  <autoFilter ref="B38:C41" xr:uid="{00000000-0009-0000-0100-000003000000}"/>
  <tableColumns count="2">
    <tableColumn id="1" xr3:uid="{932B26A5-E522-49F6-BB09-1C02341B1F63}" name="Data" dataDxfId="100"/>
    <tableColumn id="2" xr3:uid="{A2C6F005-C265-4BF4-AB61-C8CBB36BBDF1}" name="Valor" dataDxfId="99"/>
  </tableColumns>
  <tableStyleInfo name="Tabela de orçamento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E360EF8-0879-48CC-AE4C-DAFA4E46ABEF}" name="Despesas6912151821" displayName="Despesas6912151821" ref="B19:C36" totalsRowShown="0" headerRowDxfId="98">
  <autoFilter ref="B19:C36" xr:uid="{00000000-0009-0000-0100-000002000000}"/>
  <tableColumns count="2">
    <tableColumn id="1" xr3:uid="{7F3C0C2F-01FE-43EF-BE1A-426557792CEA}" name="Item"/>
    <tableColumn id="2" xr3:uid="{7DF73E6A-452D-45C1-921F-A71E712482BA}" name="Valor" dataDxfId="97"/>
  </tableColumns>
  <tableStyleInfo name="Tabela de orçamento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08A58B6-2D36-4CC7-9323-D1B06D0493D6}" name="Renda71013161922" displayName="Renda71013161922" ref="B13:C16" totalsRowShown="0" headerRowDxfId="96">
  <autoFilter ref="B13:C16" xr:uid="{00000000-0009-0000-0100-000001000000}"/>
  <tableColumns count="2">
    <tableColumn id="1" xr3:uid="{C51F6130-E64C-4987-91ED-FA2A15111110}" name="Item" totalsRowLabel="Total"/>
    <tableColumn id="2" xr3:uid="{41FEAFC1-B07A-4BC6-AF3B-95AEDA63EE54}" name="Valor" totalsRowFunction="sum" dataDxfId="95"/>
  </tableColumns>
  <tableStyleInfo name="Tabela de orçamento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1F100FD-D8AF-4EB2-9D99-A1E8A3FF8982}" name="Economias581114172023" displayName="Economias581114172023" ref="B39:C42" totalsRowShown="0" headerRowDxfId="94">
  <autoFilter ref="B39:C42" xr:uid="{00000000-0009-0000-0100-000003000000}"/>
  <tableColumns count="2">
    <tableColumn id="1" xr3:uid="{C4EAD9B9-B7FC-4168-BAF3-494FBD2B5CF7}" name="Data" dataDxfId="93"/>
    <tableColumn id="2" xr3:uid="{CC8349D8-772B-4BB1-88C7-4B4B15648015}" name="Valor" dataDxfId="92"/>
  </tableColumns>
  <tableStyleInfo name="Tabela de orçamento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8C6A0F2-882D-492A-9557-1BC2114BCD2B}" name="Despesas691215182124" displayName="Despesas691215182124" ref="B19:C37" totalsRowShown="0" headerRowDxfId="91">
  <autoFilter ref="B19:C37" xr:uid="{00000000-0009-0000-0100-000002000000}"/>
  <tableColumns count="2">
    <tableColumn id="1" xr3:uid="{DD794738-0009-4886-B6EF-7AF7E458F1AF}" name="Item"/>
    <tableColumn id="2" xr3:uid="{E1196D8F-93C0-4FD1-99F2-18D79DBB2604}" name="Valor" dataDxfId="90"/>
  </tableColumns>
  <tableStyleInfo name="Tabela de orçamento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58202CB-D0BD-48F1-9675-ABE0B72173FF}" name="Renda7101316192225" displayName="Renda7101316192225" ref="B13:C16" totalsRowShown="0" headerRowDxfId="89">
  <autoFilter ref="B13:C16" xr:uid="{00000000-0009-0000-0100-000001000000}"/>
  <tableColumns count="2">
    <tableColumn id="1" xr3:uid="{998E49B4-9322-4DA3-B6BB-CA07C28D5A92}" name="Item" totalsRowLabel="Total"/>
    <tableColumn id="2" xr3:uid="{EA21B2A4-CCD9-43B4-9CC1-9B796AB1BDBB}" name="Valor" totalsRowFunction="sum" dataDxfId="88"/>
  </tableColumns>
  <tableStyleInfo name="Tabela de orçamento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A3539A9-03C2-574C-8F78-BB36896DF5DC}" name="Economias58111417202326" displayName="Economias58111417202326" ref="B39:C42" totalsRowShown="0" headerRowDxfId="87">
  <autoFilter ref="B39:C42" xr:uid="{00000000-0009-0000-0100-000003000000}"/>
  <tableColumns count="2">
    <tableColumn id="1" xr3:uid="{7C832382-408D-BE4F-A1E9-D2A8A9DEF28D}" name="Data" dataDxfId="86"/>
    <tableColumn id="2" xr3:uid="{C761BF0C-2401-1D45-B8CA-AEC3C0BA92BE}" name="Valor" dataDxfId="85"/>
  </tableColumns>
  <tableStyleInfo name="Tabela de orçamento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160AFE4-6759-6A49-BE38-11DD28CB9603}" name="Despesas69121518212427" displayName="Despesas69121518212427" ref="B19:C37" totalsRowShown="0" headerRowDxfId="84">
  <autoFilter ref="B19:C37" xr:uid="{00000000-0009-0000-0100-000002000000}"/>
  <tableColumns count="2">
    <tableColumn id="1" xr3:uid="{CB071B45-8C6C-0D48-A04B-84064273DC13}" name="Item"/>
    <tableColumn id="2" xr3:uid="{477C44D0-AF66-074F-879E-1326CC115871}" name="Valor" dataDxfId="83"/>
  </tableColumns>
  <tableStyleInfo name="Tabela de orçamento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D74EA267-D916-A841-BD94-13808B12BDAF}" name="Renda710131619222528" displayName="Renda710131619222528" ref="B13:C16" totalsRowShown="0" headerRowDxfId="82">
  <autoFilter ref="B13:C16" xr:uid="{00000000-0009-0000-0100-000001000000}"/>
  <tableColumns count="2">
    <tableColumn id="1" xr3:uid="{3FDEB7E1-C3FC-174F-9FF5-56790B5F1389}" name="Item" totalsRowLabel="Total"/>
    <tableColumn id="2" xr3:uid="{89993D5B-2F60-4B46-805D-BBBAFCC910EA}" name="Valor" totalsRowFunction="sum" dataDxfId="81"/>
  </tableColumns>
  <tableStyleInfo name="Tabela de orçamento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2721893-7281-3241-BCEB-A41EA3F0D5D2}" name="Economias5811141720232629" displayName="Economias5811141720232629" ref="B39:C42" totalsRowShown="0" headerRowDxfId="80">
  <autoFilter ref="B39:C42" xr:uid="{00000000-0009-0000-0100-000003000000}"/>
  <tableColumns count="2">
    <tableColumn id="1" xr3:uid="{1E769853-2F95-8D4F-B4BF-53E1DF5116B3}" name="Data" dataDxfId="79"/>
    <tableColumn id="2" xr3:uid="{3991CE12-17C4-E540-B78D-F23DC8938259}" name="Valor" dataDxfId="78"/>
  </tableColumns>
  <tableStyleInfo name="Tabela de orçamento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57553C9D-6C68-EA42-BE78-24D53412C777}" name="Despesas6912151821242730" displayName="Despesas6912151821242730" ref="B19:C37" totalsRowShown="0" headerRowDxfId="77">
  <autoFilter ref="B19:C37" xr:uid="{00000000-0009-0000-0100-000002000000}"/>
  <tableColumns count="2">
    <tableColumn id="1" xr3:uid="{26C83A2C-0367-2047-ABA5-7FC9B39C8633}" name="Item"/>
    <tableColumn id="2" xr3:uid="{0981BD18-1A5B-D842-95E8-C11040FD4851}" name="Valor" dataDxfId="76"/>
  </tableColumns>
  <tableStyleInfo name="Tabela de orçamento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7FD5CD6-05D2-4740-9C53-FF43F9BAE6CA}" name="Renda71013161922252831" displayName="Renda71013161922252831" ref="B13:C16" totalsRowShown="0" headerRowDxfId="75">
  <autoFilter ref="B13:C16" xr:uid="{00000000-0009-0000-0100-000001000000}"/>
  <tableColumns count="2">
    <tableColumn id="1" xr3:uid="{46C5450F-898A-8043-9F50-DA131B4A5270}" name="Item" totalsRowLabel="Total"/>
    <tableColumn id="2" xr3:uid="{D93AF95B-565D-5147-8774-184C138E6EA6}" name="Valor" totalsRowFunction="sum" dataDxfId="74"/>
  </tableColumns>
  <tableStyleInfo name="Tabela de orçamento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5EC9DCF-E273-7E46-AA90-8CBA74669A3F}" name="Economias581114172023262932" displayName="Economias581114172023262932" ref="B39:C42" totalsRowShown="0" headerRowDxfId="73">
  <autoFilter ref="B39:C42" xr:uid="{00000000-0009-0000-0100-000003000000}"/>
  <tableColumns count="2">
    <tableColumn id="1" xr3:uid="{922555A5-E541-E745-B6A7-9935EB81AAD6}" name="Data" dataDxfId="72"/>
    <tableColumn id="2" xr3:uid="{FB6D8FD6-7FA8-464A-B81A-B72EEE836286}" name="Valor" dataDxfId="71"/>
  </tableColumns>
  <tableStyleInfo name="Tabela de orçamento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3E9D704-4C66-5C46-94B1-2DAD790374A5}" name="Despesas691215182124273033" displayName="Despesas691215182124273033" ref="B19:C37" totalsRowShown="0" headerRowDxfId="70">
  <autoFilter ref="B19:C37" xr:uid="{00000000-0009-0000-0100-000002000000}"/>
  <tableColumns count="2">
    <tableColumn id="1" xr3:uid="{2B41FC47-D230-8946-BD8E-E9D2D3D27372}" name="Item"/>
    <tableColumn id="2" xr3:uid="{75F2677E-E85F-8B45-AD8C-F896FBA15248}" name="Valor" dataDxfId="69"/>
  </tableColumns>
  <tableStyleInfo name="Tabela de orçamento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3B97AD8-50BA-FA42-BF64-094B7AC4A173}" name="Renda7101316192225283134" displayName="Renda7101316192225283134" ref="B13:C16" totalsRowShown="0" headerRowDxfId="68">
  <autoFilter ref="B13:C16" xr:uid="{00000000-0009-0000-0100-000001000000}"/>
  <tableColumns count="2">
    <tableColumn id="1" xr3:uid="{A2512186-FC23-6E44-AB31-E27B6403226F}" name="Item" totalsRowLabel="Total"/>
    <tableColumn id="2" xr3:uid="{5885C3BA-55E1-064C-B60E-BE7739CA90A7}" name="Valor" totalsRowFunction="sum" dataDxfId="67"/>
  </tableColumns>
  <tableStyleInfo name="Tabela de orçamento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65D16E81-F1B7-AB42-AFED-F5C7FF8456B3}" name="Economias58111417202326293235" displayName="Economias58111417202326293235" ref="B39:C42" totalsRowShown="0" headerRowDxfId="66">
  <autoFilter ref="B39:C42" xr:uid="{00000000-0009-0000-0100-000003000000}"/>
  <tableColumns count="2">
    <tableColumn id="1" xr3:uid="{345345F5-3F2E-564B-A8D9-35A209BE3AD3}" name="Data" dataDxfId="65"/>
    <tableColumn id="2" xr3:uid="{26DD11B2-3FFA-B44A-AD31-2384CACB63C5}" name="Valor" dataDxfId="64"/>
  </tableColumns>
  <tableStyleInfo name="Tabela de orçamento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1FE9193-73FC-BD49-BEE1-5730EFF30BF9}" name="Despesas69121518212427303336" displayName="Despesas69121518212427303336" ref="B19:C37" totalsRowShown="0" headerRowDxfId="63">
  <autoFilter ref="B19:C37" xr:uid="{00000000-0009-0000-0100-000002000000}"/>
  <tableColumns count="2">
    <tableColumn id="1" xr3:uid="{E3AA1151-60A0-694B-AAAC-7D7F5D4FA996}" name="Item"/>
    <tableColumn id="2" xr3:uid="{D2338FE6-96EF-9A4D-ABE1-AECBCFA7805F}" name="Valor" dataDxfId="62"/>
  </tableColumns>
  <tableStyleInfo name="Tabela de orçamento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4813A30-13D2-5544-BADB-D7807DAB2622}" name="Renda710131619222528313437" displayName="Renda710131619222528313437" ref="B13:C16" totalsRowShown="0" headerRowDxfId="61">
  <autoFilter ref="B13:C16" xr:uid="{00000000-0009-0000-0100-000001000000}"/>
  <tableColumns count="2">
    <tableColumn id="1" xr3:uid="{1A8CA7EC-67F2-E54B-8B39-4EADEF1AFC15}" name="Item" totalsRowLabel="Total"/>
    <tableColumn id="2" xr3:uid="{A17A72EB-826A-FC48-B8BA-FC8ADD8E89E3}" name="Valor" totalsRowFunction="sum" dataDxfId="60"/>
  </tableColumns>
  <tableStyleInfo name="Tabela de orçamento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F70B6C85-0F77-E44C-80E6-DD911CCC3748}" name="Economias5811141720232629323538" displayName="Economias5811141720232629323538" ref="B39:C42" totalsRowShown="0" headerRowDxfId="59">
  <autoFilter ref="B39:C42" xr:uid="{00000000-0009-0000-0100-000003000000}"/>
  <tableColumns count="2">
    <tableColumn id="1" xr3:uid="{47D3A855-BAA9-7D4F-A69B-74096F7FF25B}" name="Data" dataDxfId="58"/>
    <tableColumn id="2" xr3:uid="{F48F292E-9FE5-984C-B041-9EDB4CF0602A}" name="Valor" dataDxfId="57"/>
  </tableColumns>
  <tableStyleInfo name="Tabela de orçamento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B36645B3-4015-1242-A3DE-11EE28CF1FB4}" name="Despesas6912151821242730333639" displayName="Despesas6912151821242730333639" ref="B19:D38" totalsRowShown="0" headerRowDxfId="56">
  <autoFilter ref="B19:D38" xr:uid="{00000000-0009-0000-0100-000002000000}"/>
  <tableColumns count="3">
    <tableColumn id="1" xr3:uid="{71591D6C-E381-2C4D-8327-476520FF2B7E}" name="Item"/>
    <tableColumn id="2" xr3:uid="{B5EB2196-9C7D-3440-8838-8C4AF9A9D7C3}" name="Valor" dataDxfId="55"/>
    <tableColumn id="3" xr3:uid="{0EACC079-DE5E-A746-874E-24107B2261A6}" name="Coluna1"/>
  </tableColumns>
  <tableStyleInfo name="Tabela de orçamento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9EB838AB-A6CC-6A41-80E6-673598CD8B21}" name="Renda71013161922252831343740" displayName="Renda71013161922252831343740" ref="B13:C16" totalsRowShown="0" headerRowDxfId="54">
  <autoFilter ref="B13:C16" xr:uid="{00000000-0009-0000-0100-000001000000}"/>
  <tableColumns count="2">
    <tableColumn id="1" xr3:uid="{84366E8B-ECBE-024F-AC66-915A89399D85}" name="Item" totalsRowLabel="Total"/>
    <tableColumn id="2" xr3:uid="{156387B5-012E-BD40-AD29-591AFC11B01B}" name="Valor" totalsRowFunction="sum" dataDxfId="53"/>
  </tableColumns>
  <tableStyleInfo name="Tabela de orçamento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247A7CD2-CE8F-1940-9B1B-7022C89CA43D}" name="Economias581114172023262932353841" displayName="Economias581114172023262932353841" ref="B39:C42" totalsRowShown="0" headerRowDxfId="52">
  <autoFilter ref="B39:C42" xr:uid="{00000000-0009-0000-0100-000003000000}"/>
  <tableColumns count="2">
    <tableColumn id="1" xr3:uid="{ABBC29BE-C008-DD41-8685-697DF943084D}" name="Data" dataDxfId="51"/>
    <tableColumn id="2" xr3:uid="{429DA8D2-2E44-C64C-B1C8-1EBDAB51B633}" name="Valor" dataDxfId="50"/>
  </tableColumns>
  <tableStyleInfo name="Tabela de orçamento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E863AC22-EA23-8844-BFA5-9855C759A1D4}" name="Despesas691215182124273033363942" displayName="Despesas691215182124273033363942" ref="B19:D38" totalsRowShown="0" headerRowDxfId="49">
  <autoFilter ref="B19:D38" xr:uid="{00000000-0009-0000-0100-000002000000}"/>
  <tableColumns count="3">
    <tableColumn id="1" xr3:uid="{F367010F-6A21-8444-8E68-6728E1A9916F}" name="Item"/>
    <tableColumn id="2" xr3:uid="{FF02E28C-1D35-CD4C-BD32-355D35D31791}" name="Valor" dataDxfId="48"/>
    <tableColumn id="3" xr3:uid="{654F460E-B0B6-0942-8CED-086C3BF3906D}" name="Coluna1"/>
  </tableColumns>
  <tableStyleInfo name="Tabela de orçamento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ECA97D4A-491A-1F49-B1C5-3C3F1EBAA1D9}" name="Renda7101316192225283134374043" displayName="Renda7101316192225283134374043" ref="B13:C16" totalsRowShown="0" headerRowDxfId="47">
  <autoFilter ref="B13:C16" xr:uid="{00000000-0009-0000-0100-000001000000}"/>
  <tableColumns count="2">
    <tableColumn id="1" xr3:uid="{BF179276-B5E2-9A40-B378-443C44F1EE97}" name="Item" totalsRowLabel="Total"/>
    <tableColumn id="2" xr3:uid="{BCD73C6F-E25F-7E46-9E39-A1E17D21D7D0}" name="Valor" totalsRowFunction="sum" dataDxfId="46"/>
  </tableColumns>
  <tableStyleInfo name="Tabela de orçamento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99D95A6E-4AB7-4441-96C4-588A6B593DD6}" name="Economias58111417202326293235384144" displayName="Economias58111417202326293235384144" ref="B39:C42" totalsRowShown="0" headerRowDxfId="45">
  <autoFilter ref="B39:C42" xr:uid="{00000000-0009-0000-0100-000003000000}"/>
  <tableColumns count="2">
    <tableColumn id="1" xr3:uid="{0BCDF5E2-0A2F-614C-8F8C-B9882F79DC39}" name="Data" dataDxfId="44"/>
    <tableColumn id="2" xr3:uid="{C10F7E16-51FE-334C-B2A3-3037D61AC356}" name="Valor" dataDxfId="43"/>
  </tableColumns>
  <tableStyleInfo name="Tabela de orçamento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8299A27-F496-3D46-A1B5-28008CFF4BC2}" name="Despesas69121518212427303336394245" displayName="Despesas69121518212427303336394245" ref="B19:D38" totalsRowShown="0" headerRowDxfId="42">
  <autoFilter ref="B19:D38" xr:uid="{00000000-0009-0000-0100-000002000000}"/>
  <tableColumns count="3">
    <tableColumn id="1" xr3:uid="{3E5073D1-75AA-5849-BE60-01C3340E2C46}" name="Item"/>
    <tableColumn id="2" xr3:uid="{9B244713-649F-204D-B359-6BC5F7E40ACE}" name="Valor" dataDxfId="41"/>
    <tableColumn id="3" xr3:uid="{54308FD5-9A6E-0440-98F6-720E26BE27B1}" name="Coluna1"/>
  </tableColumns>
  <tableStyleInfo name="Tabela de orçamento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62AD08FB-4005-3348-B548-0EAA4DD62D3C}" name="Renda710131619222528313437404346" displayName="Renda710131619222528313437404346" ref="B13:C16" totalsRowShown="0" headerRowDxfId="40">
  <autoFilter ref="B13:C16" xr:uid="{00000000-0009-0000-0100-000001000000}"/>
  <tableColumns count="2">
    <tableColumn id="1" xr3:uid="{BC85995E-ECBB-DF41-9A94-6DA7FFC00FCB}" name="Item" totalsRowLabel="Total"/>
    <tableColumn id="2" xr3:uid="{5F4D90C3-B0C9-3445-AF6A-C4549D78E547}" name="Valor" totalsRowFunction="sum" dataDxfId="39"/>
  </tableColumns>
  <tableStyleInfo name="Tabela de orçamento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B39E76F-B1D3-D94C-937F-D63737E963D0}" name="Economias5811141720232629323538414447" displayName="Economias5811141720232629323538414447" ref="B39:C42" totalsRowShown="0" headerRowDxfId="38">
  <autoFilter ref="B39:C42" xr:uid="{00000000-0009-0000-0100-000003000000}"/>
  <tableColumns count="2">
    <tableColumn id="1" xr3:uid="{4D75B108-64E6-BF4C-B4C6-F7F7D235CDA2}" name="Data" dataDxfId="37"/>
    <tableColumn id="2" xr3:uid="{568F3464-2496-C741-8FE4-53421EA29DD9}" name="Valor" dataDxfId="36"/>
  </tableColumns>
  <tableStyleInfo name="Tabela de orçamento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E5A2F5E1-F333-CF45-A0A2-FFE3726B287F}" name="Despesas6912151821242730333639424548" displayName="Despesas6912151821242730333639424548" ref="B19:D38" totalsRowShown="0" headerRowDxfId="35">
  <autoFilter ref="B19:D38" xr:uid="{00000000-0009-0000-0100-000002000000}"/>
  <tableColumns count="3">
    <tableColumn id="1" xr3:uid="{6478C16B-F549-2648-B770-62638B8733CE}" name="Item"/>
    <tableColumn id="2" xr3:uid="{0CFEFF5D-8441-8E43-AFD5-4EDD4BC64094}" name="Valor" dataDxfId="34"/>
    <tableColumn id="3" xr3:uid="{CF11734C-E0C4-F740-814A-84D41219C2F6}" name="Coluna1"/>
  </tableColumns>
  <tableStyleInfo name="Tabela de orçamento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BEB25D23-1A57-F94F-8CE9-1DE2C35750DE}" name="Renda71013161922252831343740434649" displayName="Renda71013161922252831343740434649" ref="B13:C16" totalsRowShown="0" headerRowDxfId="33">
  <autoFilter ref="B13:C16" xr:uid="{00000000-0009-0000-0100-000001000000}"/>
  <tableColumns count="2">
    <tableColumn id="1" xr3:uid="{4570827D-443F-E64A-BCE3-AA74BB52E735}" name="Item" totalsRowLabel="Total"/>
    <tableColumn id="2" xr3:uid="{165E9AFE-9B5D-114B-8F06-4BF036BB8875}" name="Valor" totalsRowFunction="sum" dataDxfId="32"/>
  </tableColumns>
  <tableStyleInfo name="Tabela de orçamento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B2A0651F-7724-F541-A834-34BCD763BC67}" name="Economias581114172023262932353841444750" displayName="Economias581114172023262932353841444750" ref="B41:C44" totalsRowShown="0" headerRowDxfId="24">
  <autoFilter ref="B41:C44" xr:uid="{00000000-0009-0000-0100-000003000000}"/>
  <tableColumns count="2">
    <tableColumn id="1" xr3:uid="{A08EAC86-6D68-614B-A480-718578FDDF71}" name="Data" dataDxfId="23"/>
    <tableColumn id="2" xr3:uid="{2F665335-A1AD-504C-8B6E-A788FEFB42DA}" name="Valor" dataDxfId="22"/>
  </tableColumns>
  <tableStyleInfo name="Tabela de orçamento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73A5B01F-F43A-8343-AFD0-5EF64D775976}" name="Despesas691215182124273033363942454851" displayName="Despesas691215182124273033363942454851" ref="B19:D40" totalsRowShown="0" headerRowDxfId="21">
  <autoFilter ref="B19:D40" xr:uid="{00000000-0009-0000-0100-000002000000}"/>
  <tableColumns count="3">
    <tableColumn id="1" xr3:uid="{3405F2E7-98DE-A74C-9395-C953D3FD7EC8}" name="Item"/>
    <tableColumn id="2" xr3:uid="{220E947C-F13A-0F49-91D9-ED543C170DBC}" name="Valor" dataDxfId="20"/>
    <tableColumn id="3" xr3:uid="{06FDD68F-388D-E24C-B241-AE1E9526BB04}" name="Coluna1"/>
  </tableColumns>
  <tableStyleInfo name="Tabela de orçamento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731B2A44-8790-D343-AFE8-05B502445F3E}" name="Renda7101316192225283134374043464952" displayName="Renda7101316192225283134374043464952" ref="B13:C16" totalsRowShown="0" headerRowDxfId="19">
  <autoFilter ref="B13:C16" xr:uid="{00000000-0009-0000-0100-000001000000}"/>
  <tableColumns count="2">
    <tableColumn id="1" xr3:uid="{B08B70C9-3F5B-F345-94FB-BBF64BFA49B4}" name="Item" totalsRowLabel="Total"/>
    <tableColumn id="2" xr3:uid="{276ED669-8549-4744-A727-D6F94275CB10}" name="Valor" totalsRowFunction="sum" dataDxfId="18"/>
  </tableColumns>
  <tableStyleInfo name="Tabela de orçamento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D99BF7DC-632D-D94C-A1A9-38657CA546EA}" name="Economias58111417202326293235384144475053" displayName="Economias58111417202326293235384144475053" ref="B42:C45" totalsRowShown="0" headerRowDxfId="31">
  <autoFilter ref="B42:C45" xr:uid="{00000000-0009-0000-0100-000003000000}"/>
  <tableColumns count="2">
    <tableColumn id="1" xr3:uid="{1342DFAE-0D8F-FE45-959A-EBA775B50AB6}" name="Data" dataDxfId="30"/>
    <tableColumn id="2" xr3:uid="{0A539DA6-F1D9-6D48-AC59-F0BD348C0A0A}" name="Valor" dataDxfId="29"/>
  </tableColumns>
  <tableStyleInfo name="Tabela de orçamento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5A9F71D-75EE-C74C-A0C6-4B6BEA9DD2D0}" name="Despesas69121518212427303336394245485154" displayName="Despesas69121518212427303336394245485154" ref="B19:D41" totalsRowShown="0" headerRowDxfId="28">
  <autoFilter ref="B19:D41" xr:uid="{00000000-0009-0000-0100-000002000000}"/>
  <tableColumns count="3">
    <tableColumn id="1" xr3:uid="{47380C83-D2C3-A64A-B0E9-F16FF959D46F}" name="Item"/>
    <tableColumn id="2" xr3:uid="{FF213B49-35F8-8442-8322-B806C433A2D0}" name="Valor" dataDxfId="27"/>
    <tableColumn id="3" xr3:uid="{F98C6E6E-346B-9F40-B2D3-7E796AD80517}" name="Coluna1"/>
  </tableColumns>
  <tableStyleInfo name="Tabela de orçamento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EBAACD1E-67F9-A647-8405-F4D5FD5081D8}" name="Renda710131619222528313437404346495255" displayName="Renda710131619222528313437404346495255" ref="B13:C16" totalsRowShown="0" headerRowDxfId="26">
  <autoFilter ref="B13:C16" xr:uid="{00000000-0009-0000-0100-000001000000}"/>
  <tableColumns count="2">
    <tableColumn id="1" xr3:uid="{885556D6-E4C0-6A4F-A7D8-99BE6FF3F075}" name="Item" totalsRowLabel="Total"/>
    <tableColumn id="2" xr3:uid="{66EB5734-A43E-DD46-9E16-49272D41C521}" name="Valor" totalsRowFunction="sum" dataDxfId="25"/>
  </tableColumns>
  <tableStyleInfo name="Tabela de orçamento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ersonal Budget">
      <a:dk1>
        <a:sysClr val="windowText" lastClr="000000"/>
      </a:dk1>
      <a:lt1>
        <a:sysClr val="window" lastClr="FFFFFF"/>
      </a:lt1>
      <a:dk2>
        <a:srgbClr val="282C27"/>
      </a:dk2>
      <a:lt2>
        <a:srgbClr val="EBEDE6"/>
      </a:lt2>
      <a:accent1>
        <a:srgbClr val="91BD30"/>
      </a:accent1>
      <a:accent2>
        <a:srgbClr val="EB6982"/>
      </a:accent2>
      <a:accent3>
        <a:srgbClr val="40B0C2"/>
      </a:accent3>
      <a:accent4>
        <a:srgbClr val="E6C73D"/>
      </a:accent4>
      <a:accent5>
        <a:srgbClr val="A68C75"/>
      </a:accent5>
      <a:accent6>
        <a:srgbClr val="A64F8F"/>
      </a:accent6>
      <a:hlink>
        <a:srgbClr val="40B0C2"/>
      </a:hlink>
      <a:folHlink>
        <a:srgbClr val="A64F8F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5" Type="http://schemas.openxmlformats.org/officeDocument/2006/relationships/table" Target="../tables/table3.xml" /><Relationship Id="rId4" Type="http://schemas.openxmlformats.org/officeDocument/2006/relationships/table" Target="../tables/table2.xm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 /><Relationship Id="rId2" Type="http://schemas.openxmlformats.org/officeDocument/2006/relationships/table" Target="../tables/table4.xml" /><Relationship Id="rId1" Type="http://schemas.openxmlformats.org/officeDocument/2006/relationships/drawing" Target="../drawings/drawing2.xml" /><Relationship Id="rId4" Type="http://schemas.openxmlformats.org/officeDocument/2006/relationships/table" Target="../tables/table6.xml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 /><Relationship Id="rId2" Type="http://schemas.openxmlformats.org/officeDocument/2006/relationships/table" Target="../tables/table7.xml" /><Relationship Id="rId1" Type="http://schemas.openxmlformats.org/officeDocument/2006/relationships/drawing" Target="../drawings/drawing3.xml" /><Relationship Id="rId4" Type="http://schemas.openxmlformats.org/officeDocument/2006/relationships/table" Target="../tables/table9.xml" 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 /><Relationship Id="rId2" Type="http://schemas.openxmlformats.org/officeDocument/2006/relationships/table" Target="../tables/table10.xml" /><Relationship Id="rId1" Type="http://schemas.openxmlformats.org/officeDocument/2006/relationships/drawing" Target="../drawings/drawing4.xml" /><Relationship Id="rId4" Type="http://schemas.openxmlformats.org/officeDocument/2006/relationships/table" Target="../tables/table12.xml" 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 /><Relationship Id="rId2" Type="http://schemas.openxmlformats.org/officeDocument/2006/relationships/table" Target="../tables/table13.xml" /><Relationship Id="rId1" Type="http://schemas.openxmlformats.org/officeDocument/2006/relationships/drawing" Target="../drawings/drawing5.xml" /><Relationship Id="rId4" Type="http://schemas.openxmlformats.org/officeDocument/2006/relationships/table" Target="../tables/table15.xml" 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 /><Relationship Id="rId2" Type="http://schemas.openxmlformats.org/officeDocument/2006/relationships/table" Target="../tables/table16.xml" /><Relationship Id="rId1" Type="http://schemas.openxmlformats.org/officeDocument/2006/relationships/drawing" Target="../drawings/drawing6.xml" /><Relationship Id="rId4" Type="http://schemas.openxmlformats.org/officeDocument/2006/relationships/table" Target="../tables/table18.xml" 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 /><Relationship Id="rId2" Type="http://schemas.openxmlformats.org/officeDocument/2006/relationships/table" Target="../tables/table19.xml" /><Relationship Id="rId1" Type="http://schemas.openxmlformats.org/officeDocument/2006/relationships/drawing" Target="../drawings/drawing7.xml" /><Relationship Id="rId4" Type="http://schemas.openxmlformats.org/officeDocument/2006/relationships/table" Target="../tables/table21.xml" 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 /><Relationship Id="rId2" Type="http://schemas.openxmlformats.org/officeDocument/2006/relationships/table" Target="../tables/table22.xml" /><Relationship Id="rId1" Type="http://schemas.openxmlformats.org/officeDocument/2006/relationships/drawing" Target="../drawings/drawing8.xml" /><Relationship Id="rId4" Type="http://schemas.openxmlformats.org/officeDocument/2006/relationships/table" Target="../tables/table24.xml" 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 /><Relationship Id="rId2" Type="http://schemas.openxmlformats.org/officeDocument/2006/relationships/table" Target="../tables/table25.xml" /><Relationship Id="rId1" Type="http://schemas.openxmlformats.org/officeDocument/2006/relationships/drawing" Target="../drawings/drawing9.xml" /><Relationship Id="rId4" Type="http://schemas.openxmlformats.org/officeDocument/2006/relationships/table" Target="../tables/table27.xml" 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 /><Relationship Id="rId2" Type="http://schemas.openxmlformats.org/officeDocument/2006/relationships/table" Target="../tables/table28.xml" /><Relationship Id="rId1" Type="http://schemas.openxmlformats.org/officeDocument/2006/relationships/drawing" Target="../drawings/drawing10.xml" /><Relationship Id="rId4" Type="http://schemas.openxmlformats.org/officeDocument/2006/relationships/table" Target="../tables/table30.xml" 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 /><Relationship Id="rId2" Type="http://schemas.openxmlformats.org/officeDocument/2006/relationships/table" Target="../tables/table31.xml" /><Relationship Id="rId1" Type="http://schemas.openxmlformats.org/officeDocument/2006/relationships/drawing" Target="../drawings/drawing11.xml" /><Relationship Id="rId4" Type="http://schemas.openxmlformats.org/officeDocument/2006/relationships/table" Target="../tables/table33.xml" 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 /><Relationship Id="rId2" Type="http://schemas.openxmlformats.org/officeDocument/2006/relationships/table" Target="../tables/table34.xml" /><Relationship Id="rId1" Type="http://schemas.openxmlformats.org/officeDocument/2006/relationships/drawing" Target="../drawings/drawing12.xml" /><Relationship Id="rId4" Type="http://schemas.openxmlformats.org/officeDocument/2006/relationships/table" Target="../tables/table36.xml" 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 /><Relationship Id="rId2" Type="http://schemas.openxmlformats.org/officeDocument/2006/relationships/table" Target="../tables/table37.xml" /><Relationship Id="rId1" Type="http://schemas.openxmlformats.org/officeDocument/2006/relationships/drawing" Target="../drawings/drawing13.xml" /><Relationship Id="rId4" Type="http://schemas.openxmlformats.org/officeDocument/2006/relationships/table" Target="../tables/table39.xml" 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 /><Relationship Id="rId2" Type="http://schemas.openxmlformats.org/officeDocument/2006/relationships/table" Target="../tables/table40.xml" /><Relationship Id="rId1" Type="http://schemas.openxmlformats.org/officeDocument/2006/relationships/drawing" Target="../drawings/drawing14.xml" /><Relationship Id="rId4" Type="http://schemas.openxmlformats.org/officeDocument/2006/relationships/table" Target="../tables/table42.xml" 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 /><Relationship Id="rId2" Type="http://schemas.openxmlformats.org/officeDocument/2006/relationships/table" Target="../tables/table43.xml" /><Relationship Id="rId1" Type="http://schemas.openxmlformats.org/officeDocument/2006/relationships/drawing" Target="../drawings/drawing15.xml" /><Relationship Id="rId4" Type="http://schemas.openxmlformats.org/officeDocument/2006/relationships/table" Target="../tables/table45.xml" 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 /><Relationship Id="rId2" Type="http://schemas.openxmlformats.org/officeDocument/2006/relationships/table" Target="../tables/table46.xml" /><Relationship Id="rId1" Type="http://schemas.openxmlformats.org/officeDocument/2006/relationships/drawing" Target="../drawings/drawing16.xml" /><Relationship Id="rId4" Type="http://schemas.openxmlformats.org/officeDocument/2006/relationships/table" Target="../tables/table48.xml" 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 /><Relationship Id="rId2" Type="http://schemas.openxmlformats.org/officeDocument/2006/relationships/table" Target="../tables/table49.xml" /><Relationship Id="rId1" Type="http://schemas.openxmlformats.org/officeDocument/2006/relationships/drawing" Target="../drawings/drawing17.xml" /><Relationship Id="rId4" Type="http://schemas.openxmlformats.org/officeDocument/2006/relationships/table" Target="../tables/table51.xml" 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3.xml" /><Relationship Id="rId2" Type="http://schemas.openxmlformats.org/officeDocument/2006/relationships/table" Target="../tables/table52.xml" /><Relationship Id="rId1" Type="http://schemas.openxmlformats.org/officeDocument/2006/relationships/drawing" Target="../drawings/drawing18.xml" /><Relationship Id="rId4" Type="http://schemas.openxmlformats.org/officeDocument/2006/relationships/table" Target="../tables/table54.xml" 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B1:C38"/>
  <sheetViews>
    <sheetView showGridLines="0" zoomScale="125" zoomScaleNormal="125" workbookViewId="0">
      <selection activeCell="C26" sqref="C26"/>
    </sheetView>
  </sheetViews>
  <sheetFormatPr defaultColWidth="8.875" defaultRowHeight="28.5" customHeight="1" x14ac:dyDescent="0.15"/>
  <cols>
    <col min="1" max="1" width="3.2578125" customWidth="1"/>
    <col min="2" max="2" width="40.23046875" customWidth="1"/>
    <col min="3" max="3" width="20.33984375" customWidth="1"/>
    <col min="4" max="4" width="8.98828125" customWidth="1"/>
    <col min="6" max="6" width="10.11328125" bestFit="1" customWidth="1"/>
  </cols>
  <sheetData>
    <row r="1" spans="2:3" ht="35.25" customHeight="1" x14ac:dyDescent="0.4">
      <c r="B1" s="9" t="s">
        <v>0</v>
      </c>
      <c r="C1" s="1"/>
    </row>
    <row r="2" spans="2:3" ht="37.5" customHeight="1" x14ac:dyDescent="0.25">
      <c r="B2" s="1" t="s">
        <v>1</v>
      </c>
      <c r="C2" s="1" t="s">
        <v>2</v>
      </c>
    </row>
    <row r="3" spans="2:3" ht="30" customHeight="1" x14ac:dyDescent="0.15">
      <c r="B3" s="2"/>
      <c r="C3" t="s">
        <v>3</v>
      </c>
    </row>
    <row r="4" spans="2:3" ht="20.45" customHeight="1" x14ac:dyDescent="0.15">
      <c r="C4" s="11">
        <f>SUM(Renda[Valor])</f>
        <v>11049</v>
      </c>
    </row>
    <row r="5" spans="2:3" ht="20.45" customHeight="1" x14ac:dyDescent="0.15">
      <c r="C5" t="s">
        <v>4</v>
      </c>
    </row>
    <row r="6" spans="2:3" ht="20.45" customHeight="1" x14ac:dyDescent="0.15">
      <c r="C6" s="11">
        <f>SUM(Despesas[Valor])</f>
        <v>10905.470000000001</v>
      </c>
    </row>
    <row r="7" spans="2:3" ht="20.45" customHeight="1" x14ac:dyDescent="0.15">
      <c r="C7" t="s">
        <v>5</v>
      </c>
    </row>
    <row r="8" spans="2:3" ht="20.45" customHeight="1" x14ac:dyDescent="0.15">
      <c r="C8" s="11">
        <f>SUM(Economias[Valor])</f>
        <v>0</v>
      </c>
    </row>
    <row r="9" spans="2:3" ht="20.45" customHeight="1" x14ac:dyDescent="0.15">
      <c r="C9" t="s">
        <v>6</v>
      </c>
    </row>
    <row r="10" spans="2:3" ht="20.45" customHeight="1" x14ac:dyDescent="0.15">
      <c r="C10" s="11">
        <f>Renda_mensal_total-Total_mensal_de_despesas-Economia_mensal_total</f>
        <v>143.52999999999884</v>
      </c>
    </row>
    <row r="11" spans="2:3" ht="22.5" customHeight="1" x14ac:dyDescent="0.15">
      <c r="B11" s="3">
        <f>MIN(Total_mensal_de_despesas/Renda_mensal_total,1)</f>
        <v>0.98700968413431089</v>
      </c>
    </row>
    <row r="12" spans="2:3" ht="37.5" customHeight="1" x14ac:dyDescent="0.25">
      <c r="B12" s="1" t="s">
        <v>7</v>
      </c>
    </row>
    <row r="13" spans="2:3" ht="24.95" customHeight="1" x14ac:dyDescent="0.15">
      <c r="B13" s="7" t="s">
        <v>8</v>
      </c>
      <c r="C13" s="7" t="s">
        <v>9</v>
      </c>
    </row>
    <row r="14" spans="2:3" ht="24.95" customHeight="1" x14ac:dyDescent="0.15">
      <c r="B14" t="s">
        <v>10</v>
      </c>
      <c r="C14" s="12">
        <v>11049</v>
      </c>
    </row>
    <row r="15" spans="2:3" ht="24.95" customHeight="1" x14ac:dyDescent="0.15">
      <c r="B15" t="s">
        <v>11</v>
      </c>
      <c r="C15" s="12"/>
    </row>
    <row r="16" spans="2:3" ht="24.95" customHeight="1" x14ac:dyDescent="0.15">
      <c r="B16" t="s">
        <v>12</v>
      </c>
      <c r="C16" s="12"/>
    </row>
    <row r="17" spans="2:3" ht="24.95" customHeight="1" x14ac:dyDescent="0.15">
      <c r="C17" s="4"/>
    </row>
    <row r="18" spans="2:3" ht="24.95" customHeight="1" x14ac:dyDescent="0.25">
      <c r="B18" s="1" t="s">
        <v>13</v>
      </c>
    </row>
    <row r="19" spans="2:3" ht="24.95" customHeight="1" x14ac:dyDescent="0.15">
      <c r="B19" s="8" t="s">
        <v>8</v>
      </c>
      <c r="C19" s="8" t="s">
        <v>9</v>
      </c>
    </row>
    <row r="20" spans="2:3" ht="24.95" customHeight="1" x14ac:dyDescent="0.15">
      <c r="B20" s="14" t="s">
        <v>14</v>
      </c>
      <c r="C20" s="12">
        <v>987</v>
      </c>
    </row>
    <row r="21" spans="2:3" ht="24.95" customHeight="1" x14ac:dyDescent="0.15">
      <c r="B21" s="14" t="s">
        <v>15</v>
      </c>
      <c r="C21" s="12">
        <v>233.15</v>
      </c>
    </row>
    <row r="22" spans="2:3" ht="24.95" customHeight="1" x14ac:dyDescent="0.15">
      <c r="B22" s="14" t="s">
        <v>16</v>
      </c>
      <c r="C22" s="12">
        <v>155</v>
      </c>
    </row>
    <row r="23" spans="2:3" ht="24.95" customHeight="1" x14ac:dyDescent="0.15">
      <c r="B23" t="s">
        <v>17</v>
      </c>
      <c r="C23" s="12">
        <v>50</v>
      </c>
    </row>
    <row r="24" spans="2:3" ht="24.95" customHeight="1" x14ac:dyDescent="0.15">
      <c r="B24" t="s">
        <v>18</v>
      </c>
      <c r="C24" s="12">
        <v>40</v>
      </c>
    </row>
    <row r="25" spans="2:3" ht="24.95" customHeight="1" x14ac:dyDescent="0.15">
      <c r="B25" s="14" t="s">
        <v>19</v>
      </c>
      <c r="C25" s="12">
        <v>581</v>
      </c>
    </row>
    <row r="26" spans="2:3" ht="24.95" customHeight="1" x14ac:dyDescent="0.15">
      <c r="B26" s="14" t="s">
        <v>20</v>
      </c>
      <c r="C26" s="12">
        <v>7250</v>
      </c>
    </row>
    <row r="27" spans="2:3" ht="24.95" customHeight="1" x14ac:dyDescent="0.15">
      <c r="B27" s="14" t="s">
        <v>21</v>
      </c>
      <c r="C27" s="12">
        <v>1000</v>
      </c>
    </row>
    <row r="28" spans="2:3" ht="24.95" customHeight="1" x14ac:dyDescent="0.15">
      <c r="B28" s="14" t="s">
        <v>22</v>
      </c>
      <c r="C28" s="12">
        <v>284.37</v>
      </c>
    </row>
    <row r="29" spans="2:3" ht="24.95" customHeight="1" x14ac:dyDescent="0.15">
      <c r="B29" s="14" t="s">
        <v>23</v>
      </c>
      <c r="C29" s="12">
        <v>157.91999999999999</v>
      </c>
    </row>
    <row r="30" spans="2:3" ht="24.95" customHeight="1" x14ac:dyDescent="0.15">
      <c r="B30" s="14" t="s">
        <v>24</v>
      </c>
      <c r="C30" s="12">
        <v>79.78</v>
      </c>
    </row>
    <row r="31" spans="2:3" ht="24.95" customHeight="1" x14ac:dyDescent="0.15">
      <c r="B31" s="14" t="s">
        <v>25</v>
      </c>
      <c r="C31" s="12">
        <v>87.25</v>
      </c>
    </row>
    <row r="32" spans="2:3" ht="24.95" customHeight="1" x14ac:dyDescent="0.15">
      <c r="B32" t="s">
        <v>26</v>
      </c>
      <c r="C32" s="12"/>
    </row>
    <row r="33" spans="2:3" ht="24.95" customHeight="1" x14ac:dyDescent="0.15">
      <c r="B33" t="s">
        <v>27</v>
      </c>
      <c r="C33" s="12"/>
    </row>
    <row r="34" spans="2:3" ht="24.95" customHeight="1" x14ac:dyDescent="0.25">
      <c r="B34" s="1" t="s">
        <v>28</v>
      </c>
      <c r="C34" s="6"/>
    </row>
    <row r="35" spans="2:3" ht="24.95" customHeight="1" x14ac:dyDescent="0.15">
      <c r="B35" s="13" t="s">
        <v>29</v>
      </c>
      <c r="C35" s="8" t="s">
        <v>9</v>
      </c>
    </row>
    <row r="36" spans="2:3" ht="24.95" customHeight="1" x14ac:dyDescent="0.15">
      <c r="B36" s="5" t="s">
        <v>30</v>
      </c>
      <c r="C36" s="12">
        <v>0</v>
      </c>
    </row>
    <row r="37" spans="2:3" ht="24.95" customHeight="1" x14ac:dyDescent="0.15">
      <c r="B37" s="5" t="s">
        <v>30</v>
      </c>
      <c r="C37" s="12">
        <v>0</v>
      </c>
    </row>
    <row r="38" spans="2:3" ht="24.95" customHeight="1" x14ac:dyDescent="0.15">
      <c r="B38" s="5" t="s">
        <v>30</v>
      </c>
      <c r="C38" s="12">
        <v>0</v>
      </c>
    </row>
  </sheetData>
  <printOptions horizontalCentered="1"/>
  <pageMargins left="0.35" right="0.41" top="0.41" bottom="0.35" header="0.3" footer="0.3"/>
  <pageSetup paperSize="9" fitToHeight="0" orientation="portrait" r:id="rId1"/>
  <headerFooter differentFirst="1">
    <oddFooter>&amp;CPage &amp;P of &amp;N</oddFooter>
  </headerFooter>
  <drawing r:id="rId2"/>
  <tableParts count="3"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'Dados do gráfico'!$B$6</xm:f>
            <x14:dxf>
              <font>
                <color theme="5" tint="-0.24991607409894101"/>
              </font>
            </x14:dxf>
          </x14:cfRule>
          <xm:sqref>C10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C9FA3-0F6B-4DD0-AB43-034F9899DC49}">
  <sheetPr>
    <tabColor theme="4"/>
    <pageSetUpPr fitToPage="1"/>
  </sheetPr>
  <dimension ref="B1:C40"/>
  <sheetViews>
    <sheetView showGridLines="0" topLeftCell="B1" zoomScale="125" zoomScaleNormal="125" workbookViewId="0">
      <selection activeCell="C14" sqref="C14"/>
    </sheetView>
  </sheetViews>
  <sheetFormatPr defaultColWidth="8.875" defaultRowHeight="28.5" customHeight="1" x14ac:dyDescent="0.15"/>
  <cols>
    <col min="1" max="1" width="3.2578125" customWidth="1"/>
    <col min="2" max="2" width="40.23046875" customWidth="1"/>
    <col min="3" max="3" width="20.33984375" customWidth="1"/>
    <col min="4" max="4" width="8.98828125" customWidth="1"/>
    <col min="6" max="6" width="10.11328125" bestFit="1" customWidth="1"/>
  </cols>
  <sheetData>
    <row r="1" spans="2:3" ht="35.25" customHeight="1" x14ac:dyDescent="0.4">
      <c r="B1" s="9" t="s">
        <v>0</v>
      </c>
      <c r="C1" s="1"/>
    </row>
    <row r="2" spans="2:3" ht="37.5" customHeight="1" x14ac:dyDescent="0.25">
      <c r="B2" s="1" t="s">
        <v>1</v>
      </c>
      <c r="C2" s="1" t="s">
        <v>2</v>
      </c>
    </row>
    <row r="3" spans="2:3" ht="30" customHeight="1" x14ac:dyDescent="0.15">
      <c r="B3" s="2"/>
      <c r="C3" t="s">
        <v>3</v>
      </c>
    </row>
    <row r="4" spans="2:3" ht="20.45" customHeight="1" x14ac:dyDescent="0.15">
      <c r="C4" s="11">
        <f>SUM(Renda7[Valor])</f>
        <v>23903.48</v>
      </c>
    </row>
    <row r="5" spans="2:3" ht="20.45" customHeight="1" x14ac:dyDescent="0.15">
      <c r="C5" t="s">
        <v>4</v>
      </c>
    </row>
    <row r="6" spans="2:3" ht="20.45" customHeight="1" x14ac:dyDescent="0.15">
      <c r="C6" s="11">
        <f>SUM(Despesas6[Valor])</f>
        <v>21210.240000000002</v>
      </c>
    </row>
    <row r="7" spans="2:3" ht="20.45" customHeight="1" x14ac:dyDescent="0.15">
      <c r="C7" t="s">
        <v>5</v>
      </c>
    </row>
    <row r="8" spans="2:3" ht="20.45" customHeight="1" x14ac:dyDescent="0.15">
      <c r="C8" s="11">
        <f>SUM(Economias5[Valor])</f>
        <v>0</v>
      </c>
    </row>
    <row r="9" spans="2:3" ht="20.45" customHeight="1" x14ac:dyDescent="0.15">
      <c r="C9" t="s">
        <v>6</v>
      </c>
    </row>
    <row r="10" spans="2:3" ht="20.45" customHeight="1" x14ac:dyDescent="0.15">
      <c r="C10" s="11">
        <f>Renda_mensal_total-Total_mensal_de_despesas-Economia_mensal_total</f>
        <v>2693.239999999998</v>
      </c>
    </row>
    <row r="11" spans="2:3" ht="22.5" customHeight="1" x14ac:dyDescent="0.15">
      <c r="B11" s="3">
        <f>MIN(Total_mensal_de_despesas/Renda_mensal_total,1)</f>
        <v>0.88732853961013214</v>
      </c>
    </row>
    <row r="12" spans="2:3" ht="37.5" customHeight="1" x14ac:dyDescent="0.25">
      <c r="B12" s="1" t="s">
        <v>7</v>
      </c>
    </row>
    <row r="13" spans="2:3" ht="24.95" customHeight="1" x14ac:dyDescent="0.15">
      <c r="B13" s="7" t="s">
        <v>8</v>
      </c>
      <c r="C13" s="7" t="s">
        <v>9</v>
      </c>
    </row>
    <row r="14" spans="2:3" ht="24.95" customHeight="1" x14ac:dyDescent="0.15">
      <c r="B14" t="s">
        <v>10</v>
      </c>
      <c r="C14" s="12">
        <v>23903.48</v>
      </c>
    </row>
    <row r="15" spans="2:3" ht="24.95" customHeight="1" x14ac:dyDescent="0.15">
      <c r="B15" t="s">
        <v>11</v>
      </c>
      <c r="C15" s="12"/>
    </row>
    <row r="16" spans="2:3" ht="24.95" customHeight="1" x14ac:dyDescent="0.15">
      <c r="B16" t="s">
        <v>12</v>
      </c>
      <c r="C16" s="12"/>
    </row>
    <row r="17" spans="2:3" ht="24.95" customHeight="1" x14ac:dyDescent="0.15">
      <c r="C17" s="4"/>
    </row>
    <row r="18" spans="2:3" ht="24.95" customHeight="1" x14ac:dyDescent="0.25">
      <c r="B18" s="1" t="s">
        <v>13</v>
      </c>
    </row>
    <row r="19" spans="2:3" ht="24.95" customHeight="1" x14ac:dyDescent="0.15">
      <c r="B19" s="8" t="s">
        <v>8</v>
      </c>
      <c r="C19" s="8" t="s">
        <v>9</v>
      </c>
    </row>
    <row r="20" spans="2:3" ht="24.95" customHeight="1" x14ac:dyDescent="0.15">
      <c r="B20" s="15" t="s">
        <v>14</v>
      </c>
      <c r="C20" s="16">
        <v>1247.5</v>
      </c>
    </row>
    <row r="21" spans="2:3" ht="24.95" customHeight="1" x14ac:dyDescent="0.15">
      <c r="B21" s="15" t="s">
        <v>15</v>
      </c>
      <c r="C21" s="16">
        <v>315</v>
      </c>
    </row>
    <row r="22" spans="2:3" ht="24.95" customHeight="1" x14ac:dyDescent="0.15">
      <c r="B22" s="15" t="s">
        <v>16</v>
      </c>
      <c r="C22" s="16">
        <v>160</v>
      </c>
    </row>
    <row r="23" spans="2:3" ht="24.95" customHeight="1" x14ac:dyDescent="0.15">
      <c r="B23" s="15" t="s">
        <v>17</v>
      </c>
      <c r="C23" s="12">
        <v>30</v>
      </c>
    </row>
    <row r="24" spans="2:3" ht="24.95" customHeight="1" x14ac:dyDescent="0.15">
      <c r="B24" s="15" t="s">
        <v>18</v>
      </c>
      <c r="C24" s="12">
        <v>40</v>
      </c>
    </row>
    <row r="25" spans="2:3" ht="24.95" customHeight="1" x14ac:dyDescent="0.15">
      <c r="B25" s="15" t="s">
        <v>19</v>
      </c>
      <c r="C25" s="16">
        <v>650</v>
      </c>
    </row>
    <row r="26" spans="2:3" ht="24.95" customHeight="1" x14ac:dyDescent="0.15">
      <c r="B26" s="15" t="s">
        <v>20</v>
      </c>
      <c r="C26" s="16">
        <v>8200</v>
      </c>
    </row>
    <row r="27" spans="2:3" ht="24.95" customHeight="1" x14ac:dyDescent="0.15">
      <c r="B27" s="15" t="s">
        <v>21</v>
      </c>
      <c r="C27" s="16">
        <v>1000</v>
      </c>
    </row>
    <row r="28" spans="2:3" ht="24.95" customHeight="1" x14ac:dyDescent="0.15">
      <c r="B28" s="15" t="s">
        <v>22</v>
      </c>
      <c r="C28" s="16">
        <v>196.78</v>
      </c>
    </row>
    <row r="29" spans="2:3" ht="24.95" customHeight="1" x14ac:dyDescent="0.15">
      <c r="B29" s="15" t="s">
        <v>31</v>
      </c>
      <c r="C29" s="16">
        <v>2370.31</v>
      </c>
    </row>
    <row r="30" spans="2:3" ht="24.95" customHeight="1" x14ac:dyDescent="0.15">
      <c r="B30" s="15" t="s">
        <v>24</v>
      </c>
      <c r="C30" s="16">
        <v>102.78</v>
      </c>
    </row>
    <row r="31" spans="2:3" ht="24.95" customHeight="1" x14ac:dyDescent="0.15">
      <c r="B31" s="15" t="s">
        <v>32</v>
      </c>
      <c r="C31" s="12">
        <v>90</v>
      </c>
    </row>
    <row r="32" spans="2:3" ht="24.95" customHeight="1" x14ac:dyDescent="0.15">
      <c r="B32" s="15" t="s">
        <v>33</v>
      </c>
      <c r="C32" s="16">
        <v>2534.6</v>
      </c>
    </row>
    <row r="33" spans="2:3" ht="24.95" customHeight="1" x14ac:dyDescent="0.15">
      <c r="B33" s="15" t="s">
        <v>34</v>
      </c>
      <c r="C33" s="16">
        <v>1561.27</v>
      </c>
    </row>
    <row r="34" spans="2:3" ht="24.95" customHeight="1" x14ac:dyDescent="0.15">
      <c r="B34" t="s">
        <v>35</v>
      </c>
      <c r="C34" s="16">
        <v>2350</v>
      </c>
    </row>
    <row r="35" spans="2:3" ht="24.95" customHeight="1" x14ac:dyDescent="0.15">
      <c r="B35" t="s">
        <v>36</v>
      </c>
      <c r="C35" s="16">
        <v>362</v>
      </c>
    </row>
    <row r="36" spans="2:3" ht="24.95" customHeight="1" x14ac:dyDescent="0.25">
      <c r="B36" s="1" t="s">
        <v>28</v>
      </c>
      <c r="C36" s="6"/>
    </row>
    <row r="37" spans="2:3" ht="24.95" customHeight="1" x14ac:dyDescent="0.15">
      <c r="B37" s="13" t="s">
        <v>29</v>
      </c>
      <c r="C37" s="8" t="s">
        <v>9</v>
      </c>
    </row>
    <row r="38" spans="2:3" ht="24.95" customHeight="1" x14ac:dyDescent="0.15">
      <c r="B38" s="5" t="s">
        <v>30</v>
      </c>
      <c r="C38" s="12">
        <v>0</v>
      </c>
    </row>
    <row r="39" spans="2:3" ht="24.95" customHeight="1" x14ac:dyDescent="0.15">
      <c r="B39" s="5" t="s">
        <v>30</v>
      </c>
      <c r="C39" s="12">
        <v>0</v>
      </c>
    </row>
    <row r="40" spans="2:3" ht="24.95" customHeight="1" x14ac:dyDescent="0.15">
      <c r="B40" s="5" t="s">
        <v>30</v>
      </c>
      <c r="C40" s="12">
        <v>0</v>
      </c>
    </row>
  </sheetData>
  <printOptions horizontalCentered="1"/>
  <pageMargins left="0.35" right="0.41" top="0.41" bottom="0.35" header="0.3" footer="0.3"/>
  <pageSetup paperSize="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B646FA6-5457-4CB2-B395-15B609A488D5}">
            <xm:f>'Dados do gráfico'!$B$6</xm:f>
            <x14:dxf>
              <font>
                <color theme="5" tint="-0.24991607409894101"/>
              </font>
            </x14:dxf>
          </x14:cfRule>
          <xm:sqref>C10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CCA28-2521-4216-9D28-43CF0AD0A37B}">
  <sheetPr>
    <tabColor theme="4"/>
    <pageSetUpPr fitToPage="1"/>
  </sheetPr>
  <dimension ref="B1:C40"/>
  <sheetViews>
    <sheetView showGridLines="0" topLeftCell="A11" zoomScale="125" zoomScaleNormal="125" workbookViewId="0">
      <selection activeCell="C15" sqref="C15"/>
    </sheetView>
  </sheetViews>
  <sheetFormatPr defaultColWidth="8.875" defaultRowHeight="28.5" customHeight="1" x14ac:dyDescent="0.15"/>
  <cols>
    <col min="1" max="1" width="3.2578125" customWidth="1"/>
    <col min="2" max="2" width="40.23046875" customWidth="1"/>
    <col min="3" max="3" width="20.33984375" customWidth="1"/>
    <col min="4" max="4" width="8.98828125" customWidth="1"/>
    <col min="6" max="6" width="10.11328125" bestFit="1" customWidth="1"/>
  </cols>
  <sheetData>
    <row r="1" spans="2:3" ht="35.25" customHeight="1" x14ac:dyDescent="0.4">
      <c r="B1" s="9" t="s">
        <v>0</v>
      </c>
      <c r="C1" s="1"/>
    </row>
    <row r="2" spans="2:3" ht="37.5" customHeight="1" x14ac:dyDescent="0.25">
      <c r="B2" s="1" t="s">
        <v>1</v>
      </c>
      <c r="C2" s="1" t="s">
        <v>2</v>
      </c>
    </row>
    <row r="3" spans="2:3" ht="30" customHeight="1" x14ac:dyDescent="0.15">
      <c r="B3" s="2"/>
      <c r="C3" t="s">
        <v>3</v>
      </c>
    </row>
    <row r="4" spans="2:3" ht="20.45" customHeight="1" x14ac:dyDescent="0.15">
      <c r="C4" s="11">
        <f>SUM(Renda710[Valor])</f>
        <v>10790</v>
      </c>
    </row>
    <row r="5" spans="2:3" ht="20.45" customHeight="1" x14ac:dyDescent="0.15">
      <c r="C5" t="s">
        <v>4</v>
      </c>
    </row>
    <row r="6" spans="2:3" ht="20.45" customHeight="1" x14ac:dyDescent="0.15">
      <c r="C6" s="11">
        <f>SUM(Despesas69[Valor])</f>
        <v>11163.259999999998</v>
      </c>
    </row>
    <row r="7" spans="2:3" ht="20.45" customHeight="1" x14ac:dyDescent="0.15">
      <c r="C7" t="s">
        <v>5</v>
      </c>
    </row>
    <row r="8" spans="2:3" ht="20.45" customHeight="1" x14ac:dyDescent="0.15">
      <c r="C8" s="11">
        <f>SUM(Economias58[Valor])</f>
        <v>0</v>
      </c>
    </row>
    <row r="9" spans="2:3" ht="20.45" customHeight="1" x14ac:dyDescent="0.15">
      <c r="C9" t="s">
        <v>6</v>
      </c>
    </row>
    <row r="10" spans="2:3" ht="20.45" customHeight="1" x14ac:dyDescent="0.15">
      <c r="C10" s="11">
        <f>Renda_mensal_total-Total_mensal_de_despesas-Economia_mensal_total</f>
        <v>-373.2599999999984</v>
      </c>
    </row>
    <row r="11" spans="2:3" ht="22.5" customHeight="1" x14ac:dyDescent="0.15">
      <c r="B11" s="3">
        <f>MIN(Total_mensal_de_despesas/Renda_mensal_total,1)</f>
        <v>1</v>
      </c>
    </row>
    <row r="12" spans="2:3" ht="37.5" customHeight="1" x14ac:dyDescent="0.25">
      <c r="B12" s="1" t="s">
        <v>7</v>
      </c>
    </row>
    <row r="13" spans="2:3" ht="24.95" customHeight="1" x14ac:dyDescent="0.15">
      <c r="B13" s="7" t="s">
        <v>8</v>
      </c>
      <c r="C13" s="7" t="s">
        <v>9</v>
      </c>
    </row>
    <row r="14" spans="2:3" ht="24.95" customHeight="1" x14ac:dyDescent="0.15">
      <c r="B14" t="s">
        <v>10</v>
      </c>
      <c r="C14" s="12">
        <v>10790</v>
      </c>
    </row>
    <row r="15" spans="2:3" ht="24.95" customHeight="1" x14ac:dyDescent="0.15">
      <c r="B15" t="s">
        <v>11</v>
      </c>
      <c r="C15" s="12"/>
    </row>
    <row r="16" spans="2:3" ht="24.95" customHeight="1" x14ac:dyDescent="0.15">
      <c r="B16" t="s">
        <v>12</v>
      </c>
      <c r="C16" s="12"/>
    </row>
    <row r="17" spans="2:3" ht="24.95" customHeight="1" x14ac:dyDescent="0.15">
      <c r="C17" s="4"/>
    </row>
    <row r="18" spans="2:3" ht="24.95" customHeight="1" x14ac:dyDescent="0.25">
      <c r="B18" s="1" t="s">
        <v>13</v>
      </c>
    </row>
    <row r="19" spans="2:3" ht="24.95" customHeight="1" x14ac:dyDescent="0.15">
      <c r="B19" s="8" t="s">
        <v>8</v>
      </c>
      <c r="C19" s="8" t="s">
        <v>9</v>
      </c>
    </row>
    <row r="20" spans="2:3" ht="24.95" customHeight="1" x14ac:dyDescent="0.15">
      <c r="B20" s="15" t="s">
        <v>14</v>
      </c>
      <c r="C20" s="16">
        <v>1247.5</v>
      </c>
    </row>
    <row r="21" spans="2:3" ht="24.95" customHeight="1" x14ac:dyDescent="0.15">
      <c r="B21" s="15" t="s">
        <v>15</v>
      </c>
      <c r="C21" s="16">
        <v>289</v>
      </c>
    </row>
    <row r="22" spans="2:3" ht="24.95" customHeight="1" x14ac:dyDescent="0.15">
      <c r="B22" s="15" t="s">
        <v>16</v>
      </c>
      <c r="C22" s="16">
        <v>160</v>
      </c>
    </row>
    <row r="23" spans="2:3" ht="24.95" customHeight="1" x14ac:dyDescent="0.15">
      <c r="B23" s="15" t="s">
        <v>17</v>
      </c>
      <c r="C23" s="16">
        <v>30</v>
      </c>
    </row>
    <row r="24" spans="2:3" ht="24.95" customHeight="1" x14ac:dyDescent="0.15">
      <c r="B24" s="15" t="s">
        <v>18</v>
      </c>
      <c r="C24" s="17">
        <v>40</v>
      </c>
    </row>
    <row r="25" spans="2:3" ht="24.95" customHeight="1" x14ac:dyDescent="0.15">
      <c r="B25" s="15" t="s">
        <v>19</v>
      </c>
      <c r="C25" s="16">
        <v>650</v>
      </c>
    </row>
    <row r="26" spans="2:3" ht="24.95" customHeight="1" x14ac:dyDescent="0.15">
      <c r="B26" s="15" t="s">
        <v>37</v>
      </c>
      <c r="C26" s="16">
        <v>3040</v>
      </c>
    </row>
    <row r="27" spans="2:3" ht="24.95" customHeight="1" x14ac:dyDescent="0.15">
      <c r="B27" s="15" t="s">
        <v>21</v>
      </c>
      <c r="C27" s="16">
        <v>1000</v>
      </c>
    </row>
    <row r="28" spans="2:3" ht="24.95" customHeight="1" x14ac:dyDescent="0.15">
      <c r="B28" s="15" t="s">
        <v>22</v>
      </c>
      <c r="C28" s="17">
        <v>156.09</v>
      </c>
    </row>
    <row r="29" spans="2:3" ht="24.95" customHeight="1" x14ac:dyDescent="0.15">
      <c r="B29" s="15" t="s">
        <v>31</v>
      </c>
      <c r="C29" s="16">
        <v>825</v>
      </c>
    </row>
    <row r="30" spans="2:3" ht="24.95" customHeight="1" x14ac:dyDescent="0.15">
      <c r="B30" s="15" t="s">
        <v>24</v>
      </c>
      <c r="C30" s="16">
        <v>102.78</v>
      </c>
    </row>
    <row r="31" spans="2:3" ht="24.95" customHeight="1" x14ac:dyDescent="0.15">
      <c r="B31" s="15" t="s">
        <v>32</v>
      </c>
      <c r="C31" s="17">
        <v>90</v>
      </c>
    </row>
    <row r="32" spans="2:3" ht="24.95" customHeight="1" x14ac:dyDescent="0.15">
      <c r="B32" s="15" t="s">
        <v>33</v>
      </c>
      <c r="C32" s="16">
        <v>470.2</v>
      </c>
    </row>
    <row r="33" spans="2:3" ht="24.95" customHeight="1" x14ac:dyDescent="0.15">
      <c r="B33" s="15" t="s">
        <v>34</v>
      </c>
      <c r="C33" s="16">
        <v>614.89</v>
      </c>
    </row>
    <row r="34" spans="2:3" ht="24.95" customHeight="1" x14ac:dyDescent="0.15">
      <c r="B34" t="s">
        <v>35</v>
      </c>
      <c r="C34" s="16">
        <v>2447.8000000000002</v>
      </c>
    </row>
    <row r="35" spans="2:3" ht="24.95" customHeight="1" x14ac:dyDescent="0.15">
      <c r="B35" t="s">
        <v>36</v>
      </c>
      <c r="C35" s="17"/>
    </row>
    <row r="36" spans="2:3" ht="24.95" customHeight="1" x14ac:dyDescent="0.25">
      <c r="B36" s="1" t="s">
        <v>28</v>
      </c>
      <c r="C36" s="6"/>
    </row>
    <row r="37" spans="2:3" ht="24.95" customHeight="1" x14ac:dyDescent="0.15">
      <c r="B37" s="13" t="s">
        <v>29</v>
      </c>
      <c r="C37" s="8" t="s">
        <v>9</v>
      </c>
    </row>
    <row r="38" spans="2:3" ht="24.95" customHeight="1" x14ac:dyDescent="0.15">
      <c r="B38" s="5" t="s">
        <v>30</v>
      </c>
      <c r="C38" s="12">
        <v>0</v>
      </c>
    </row>
    <row r="39" spans="2:3" ht="24.95" customHeight="1" x14ac:dyDescent="0.15">
      <c r="B39" s="5" t="s">
        <v>30</v>
      </c>
      <c r="C39" s="12">
        <v>0</v>
      </c>
    </row>
    <row r="40" spans="2:3" ht="24.95" customHeight="1" x14ac:dyDescent="0.15">
      <c r="B40" s="5" t="s">
        <v>30</v>
      </c>
      <c r="C40" s="12">
        <v>0</v>
      </c>
    </row>
  </sheetData>
  <printOptions horizontalCentered="1"/>
  <pageMargins left="0.35" right="0.41" top="0.41" bottom="0.35" header="0.3" footer="0.3"/>
  <pageSetup paperSize="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BAA2069-218E-42F6-ABF1-59D5F858732F}">
            <xm:f>'Dados do gráfico'!$B$6</xm:f>
            <x14:dxf>
              <font>
                <color theme="5" tint="-0.24991607409894101"/>
              </font>
            </x14:dxf>
          </x14:cfRule>
          <xm:sqref>C10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7BA1-C80D-0742-AA27-299E47EF9E31}">
  <sheetPr>
    <tabColor theme="4"/>
    <pageSetUpPr fitToPage="1"/>
  </sheetPr>
  <dimension ref="B1:E41"/>
  <sheetViews>
    <sheetView showGridLines="0" topLeftCell="B1" zoomScale="125" zoomScaleNormal="125" workbookViewId="0">
      <selection activeCell="C31" sqref="C31"/>
    </sheetView>
  </sheetViews>
  <sheetFormatPr defaultColWidth="8.875" defaultRowHeight="28.5" customHeight="1" x14ac:dyDescent="0.15"/>
  <cols>
    <col min="1" max="1" width="3.2578125" customWidth="1"/>
    <col min="2" max="2" width="40.23046875" customWidth="1"/>
    <col min="3" max="3" width="20.33984375" customWidth="1"/>
    <col min="4" max="4" width="8.98828125" customWidth="1"/>
    <col min="5" max="5" width="11.125" bestFit="1" customWidth="1"/>
    <col min="6" max="6" width="10.11328125" bestFit="1" customWidth="1"/>
  </cols>
  <sheetData>
    <row r="1" spans="2:3" ht="35.25" customHeight="1" x14ac:dyDescent="0.4">
      <c r="B1" s="9" t="s">
        <v>0</v>
      </c>
      <c r="C1" s="1"/>
    </row>
    <row r="2" spans="2:3" ht="37.5" customHeight="1" x14ac:dyDescent="0.25">
      <c r="B2" s="1" t="s">
        <v>1</v>
      </c>
      <c r="C2" s="1" t="s">
        <v>2</v>
      </c>
    </row>
    <row r="3" spans="2:3" ht="30" customHeight="1" x14ac:dyDescent="0.15">
      <c r="B3" s="2"/>
      <c r="C3" t="s">
        <v>3</v>
      </c>
    </row>
    <row r="4" spans="2:3" ht="20.45" customHeight="1" x14ac:dyDescent="0.15">
      <c r="C4" s="11">
        <f>SUM(Renda71013[Valor])</f>
        <v>10790</v>
      </c>
    </row>
    <row r="5" spans="2:3" ht="20.45" customHeight="1" x14ac:dyDescent="0.15">
      <c r="C5" t="s">
        <v>4</v>
      </c>
    </row>
    <row r="6" spans="2:3" ht="20.45" customHeight="1" x14ac:dyDescent="0.15">
      <c r="C6" s="11">
        <f>SUM(Despesas6912[Valor])</f>
        <v>11243.36</v>
      </c>
    </row>
    <row r="7" spans="2:3" ht="20.45" customHeight="1" x14ac:dyDescent="0.15">
      <c r="C7" t="s">
        <v>5</v>
      </c>
    </row>
    <row r="8" spans="2:3" ht="20.45" customHeight="1" x14ac:dyDescent="0.15">
      <c r="C8" s="11">
        <f>SUM(Economias5811[Valor])</f>
        <v>0</v>
      </c>
    </row>
    <row r="9" spans="2:3" ht="20.45" customHeight="1" x14ac:dyDescent="0.15">
      <c r="C9" t="s">
        <v>6</v>
      </c>
    </row>
    <row r="10" spans="2:3" ht="20.45" customHeight="1" x14ac:dyDescent="0.15">
      <c r="C10" s="11">
        <f>Renda_mensal_total-Total_mensal_de_despesas-Economia_mensal_total</f>
        <v>-453.36000000000058</v>
      </c>
    </row>
    <row r="11" spans="2:3" ht="22.5" customHeight="1" x14ac:dyDescent="0.15">
      <c r="B11" s="3">
        <f>MIN(Total_mensal_de_despesas/Renda_mensal_total,1)</f>
        <v>1</v>
      </c>
    </row>
    <row r="12" spans="2:3" ht="37.5" customHeight="1" x14ac:dyDescent="0.25">
      <c r="B12" s="1" t="s">
        <v>7</v>
      </c>
    </row>
    <row r="13" spans="2:3" ht="24.95" customHeight="1" x14ac:dyDescent="0.15">
      <c r="B13" s="7" t="s">
        <v>8</v>
      </c>
      <c r="C13" s="7" t="s">
        <v>9</v>
      </c>
    </row>
    <row r="14" spans="2:3" ht="24.95" customHeight="1" x14ac:dyDescent="0.15">
      <c r="B14" t="s">
        <v>10</v>
      </c>
      <c r="C14" s="12">
        <v>10790</v>
      </c>
    </row>
    <row r="15" spans="2:3" ht="24.95" customHeight="1" x14ac:dyDescent="0.15">
      <c r="B15" t="s">
        <v>11</v>
      </c>
      <c r="C15" s="12"/>
    </row>
    <row r="16" spans="2:3" ht="24.95" customHeight="1" x14ac:dyDescent="0.15">
      <c r="B16" t="s">
        <v>12</v>
      </c>
      <c r="C16" s="12"/>
    </row>
    <row r="17" spans="2:5" ht="24.95" customHeight="1" x14ac:dyDescent="0.15">
      <c r="C17" s="4"/>
    </row>
    <row r="18" spans="2:5" ht="24.95" customHeight="1" x14ac:dyDescent="0.25">
      <c r="B18" s="1" t="s">
        <v>13</v>
      </c>
    </row>
    <row r="19" spans="2:5" ht="24.95" customHeight="1" x14ac:dyDescent="0.15">
      <c r="B19" s="8" t="s">
        <v>8</v>
      </c>
      <c r="C19" s="8" t="s">
        <v>9</v>
      </c>
    </row>
    <row r="20" spans="2:5" ht="24.95" customHeight="1" x14ac:dyDescent="0.15">
      <c r="B20" s="15" t="s">
        <v>14</v>
      </c>
      <c r="C20" s="16">
        <v>1347.18</v>
      </c>
      <c r="E20" s="18">
        <f>SUM(C31,C32,C33,C35)</f>
        <v>602</v>
      </c>
    </row>
    <row r="21" spans="2:5" ht="24.95" customHeight="1" x14ac:dyDescent="0.15">
      <c r="B21" s="15" t="s">
        <v>15</v>
      </c>
      <c r="C21" s="16">
        <v>293.02999999999997</v>
      </c>
      <c r="E21" s="19">
        <v>147.49</v>
      </c>
    </row>
    <row r="22" spans="2:5" ht="24.95" customHeight="1" x14ac:dyDescent="0.15">
      <c r="B22" s="15" t="s">
        <v>16</v>
      </c>
      <c r="C22" s="16">
        <v>160.46</v>
      </c>
    </row>
    <row r="23" spans="2:5" ht="24.95" customHeight="1" x14ac:dyDescent="0.15">
      <c r="B23" s="15" t="s">
        <v>17</v>
      </c>
      <c r="C23" s="17"/>
    </row>
    <row r="24" spans="2:5" ht="24.95" customHeight="1" x14ac:dyDescent="0.15">
      <c r="B24" s="15" t="s">
        <v>18</v>
      </c>
      <c r="C24" s="17"/>
    </row>
    <row r="25" spans="2:5" ht="24.95" customHeight="1" x14ac:dyDescent="0.15">
      <c r="B25" s="15" t="s">
        <v>19</v>
      </c>
      <c r="C25" s="16">
        <v>689.3</v>
      </c>
    </row>
    <row r="26" spans="2:5" ht="24.95" customHeight="1" x14ac:dyDescent="0.15">
      <c r="B26" s="15" t="s">
        <v>37</v>
      </c>
      <c r="C26" s="16">
        <v>3935</v>
      </c>
    </row>
    <row r="27" spans="2:5" ht="24.95" customHeight="1" x14ac:dyDescent="0.15">
      <c r="B27" s="15" t="s">
        <v>21</v>
      </c>
      <c r="C27" s="16">
        <v>1000</v>
      </c>
    </row>
    <row r="28" spans="2:5" ht="24.95" customHeight="1" x14ac:dyDescent="0.15">
      <c r="B28" s="15" t="s">
        <v>22</v>
      </c>
      <c r="C28" s="16">
        <v>218</v>
      </c>
    </row>
    <row r="29" spans="2:5" ht="24.95" customHeight="1" x14ac:dyDescent="0.15">
      <c r="B29" s="15" t="s">
        <v>31</v>
      </c>
      <c r="C29" s="16">
        <v>181.57</v>
      </c>
    </row>
    <row r="30" spans="2:5" ht="24.95" customHeight="1" x14ac:dyDescent="0.15">
      <c r="B30" s="15" t="s">
        <v>24</v>
      </c>
      <c r="C30" s="17"/>
    </row>
    <row r="31" spans="2:5" ht="24.95" customHeight="1" x14ac:dyDescent="0.15">
      <c r="B31" s="15" t="s">
        <v>32</v>
      </c>
      <c r="C31" s="16">
        <v>90</v>
      </c>
    </row>
    <row r="32" spans="2:5" ht="24.95" customHeight="1" x14ac:dyDescent="0.15">
      <c r="B32" s="15" t="s">
        <v>33</v>
      </c>
      <c r="C32" s="16">
        <v>170</v>
      </c>
    </row>
    <row r="33" spans="2:3" ht="24.95" customHeight="1" x14ac:dyDescent="0.15">
      <c r="B33" s="15" t="s">
        <v>34</v>
      </c>
      <c r="C33" s="16">
        <v>230</v>
      </c>
    </row>
    <row r="34" spans="2:3" ht="24.95" customHeight="1" x14ac:dyDescent="0.15">
      <c r="B34" t="s">
        <v>35</v>
      </c>
      <c r="C34" s="16">
        <v>2609</v>
      </c>
    </row>
    <row r="35" spans="2:3" ht="24.95" customHeight="1" x14ac:dyDescent="0.15">
      <c r="B35" t="s">
        <v>38</v>
      </c>
      <c r="C35" s="16">
        <v>112</v>
      </c>
    </row>
    <row r="36" spans="2:3" ht="24.95" customHeight="1" x14ac:dyDescent="0.15">
      <c r="B36" t="s">
        <v>36</v>
      </c>
      <c r="C36" s="16">
        <v>207.82</v>
      </c>
    </row>
    <row r="37" spans="2:3" ht="24.95" customHeight="1" x14ac:dyDescent="0.25">
      <c r="B37" s="1" t="s">
        <v>28</v>
      </c>
      <c r="C37" s="6"/>
    </row>
    <row r="38" spans="2:3" ht="24.95" customHeight="1" x14ac:dyDescent="0.15">
      <c r="B38" s="13" t="s">
        <v>29</v>
      </c>
      <c r="C38" s="8" t="s">
        <v>9</v>
      </c>
    </row>
    <row r="39" spans="2:3" ht="24.95" customHeight="1" x14ac:dyDescent="0.15">
      <c r="B39" s="5" t="s">
        <v>30</v>
      </c>
      <c r="C39" s="12">
        <v>0</v>
      </c>
    </row>
    <row r="40" spans="2:3" ht="24.95" customHeight="1" x14ac:dyDescent="0.15">
      <c r="B40" s="5" t="s">
        <v>30</v>
      </c>
      <c r="C40" s="12">
        <v>0</v>
      </c>
    </row>
    <row r="41" spans="2:3" ht="24.95" customHeight="1" x14ac:dyDescent="0.15">
      <c r="B41" s="5" t="s">
        <v>30</v>
      </c>
      <c r="C41" s="12">
        <v>0</v>
      </c>
    </row>
  </sheetData>
  <printOptions horizontalCentered="1"/>
  <pageMargins left="0.35" right="0.41" top="0.41" bottom="0.35" header="0.3" footer="0.3"/>
  <pageSetup paperSize="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3819053-C068-8A40-9855-243F0597FF12}">
            <xm:f>'Dados do gráfico'!$B$6</xm:f>
            <x14:dxf>
              <font>
                <color theme="5" tint="-0.24991607409894101"/>
              </font>
            </x14:dxf>
          </x14:cfRule>
          <xm:sqref>C10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C3BFA-22EF-7D4C-B2E9-512E5651581F}">
  <sheetPr>
    <tabColor theme="4"/>
    <pageSetUpPr fitToPage="1"/>
  </sheetPr>
  <dimension ref="B1:E41"/>
  <sheetViews>
    <sheetView showGridLines="0" topLeftCell="B1" zoomScale="125" zoomScaleNormal="125" workbookViewId="0">
      <selection activeCell="C35" sqref="C35"/>
    </sheetView>
  </sheetViews>
  <sheetFormatPr defaultColWidth="8.875" defaultRowHeight="28.5" customHeight="1" x14ac:dyDescent="0.15"/>
  <cols>
    <col min="1" max="1" width="3.2578125" customWidth="1"/>
    <col min="2" max="2" width="40.23046875" customWidth="1"/>
    <col min="3" max="3" width="20.33984375" customWidth="1"/>
    <col min="4" max="4" width="8.98828125" customWidth="1"/>
    <col min="5" max="5" width="11.125" bestFit="1" customWidth="1"/>
    <col min="6" max="6" width="10.11328125" bestFit="1" customWidth="1"/>
  </cols>
  <sheetData>
    <row r="1" spans="2:3" ht="35.25" customHeight="1" x14ac:dyDescent="0.4">
      <c r="B1" s="9" t="s">
        <v>0</v>
      </c>
      <c r="C1" s="1"/>
    </row>
    <row r="2" spans="2:3" ht="37.5" customHeight="1" x14ac:dyDescent="0.25">
      <c r="B2" s="1" t="s">
        <v>1</v>
      </c>
      <c r="C2" s="1" t="s">
        <v>2</v>
      </c>
    </row>
    <row r="3" spans="2:3" ht="30" customHeight="1" x14ac:dyDescent="0.15">
      <c r="B3" s="2"/>
      <c r="C3" t="s">
        <v>3</v>
      </c>
    </row>
    <row r="4" spans="2:3" ht="20.45" customHeight="1" x14ac:dyDescent="0.15">
      <c r="C4" s="11">
        <f>SUM(Renda7101316[Valor])</f>
        <v>10790</v>
      </c>
    </row>
    <row r="5" spans="2:3" ht="20.45" customHeight="1" x14ac:dyDescent="0.15">
      <c r="C5" t="s">
        <v>4</v>
      </c>
    </row>
    <row r="6" spans="2:3" ht="20.45" customHeight="1" x14ac:dyDescent="0.15">
      <c r="C6" s="11">
        <f>SUM(Despesas691215[Valor])</f>
        <v>12115.77</v>
      </c>
    </row>
    <row r="7" spans="2:3" ht="20.45" customHeight="1" x14ac:dyDescent="0.15">
      <c r="C7" t="s">
        <v>5</v>
      </c>
    </row>
    <row r="8" spans="2:3" ht="20.45" customHeight="1" x14ac:dyDescent="0.15">
      <c r="C8" s="11">
        <f>SUM(Economias581114[Valor])</f>
        <v>0</v>
      </c>
    </row>
    <row r="9" spans="2:3" ht="20.45" customHeight="1" x14ac:dyDescent="0.15">
      <c r="C9" t="s">
        <v>6</v>
      </c>
    </row>
    <row r="10" spans="2:3" ht="20.45" customHeight="1" x14ac:dyDescent="0.15">
      <c r="C10" s="11">
        <f>Renda_mensal_total-Total_mensal_de_despesas-Economia_mensal_total</f>
        <v>-1325.7700000000004</v>
      </c>
    </row>
    <row r="11" spans="2:3" ht="22.5" customHeight="1" x14ac:dyDescent="0.15">
      <c r="B11" s="3">
        <f>MIN(Total_mensal_de_despesas/Renda_mensal_total,1)</f>
        <v>1</v>
      </c>
    </row>
    <row r="12" spans="2:3" ht="37.5" customHeight="1" x14ac:dyDescent="0.25">
      <c r="B12" s="1" t="s">
        <v>7</v>
      </c>
    </row>
    <row r="13" spans="2:3" ht="24.95" customHeight="1" x14ac:dyDescent="0.15">
      <c r="B13" s="7" t="s">
        <v>8</v>
      </c>
      <c r="C13" s="7" t="s">
        <v>9</v>
      </c>
    </row>
    <row r="14" spans="2:3" ht="24.95" customHeight="1" x14ac:dyDescent="0.15">
      <c r="B14" t="s">
        <v>10</v>
      </c>
      <c r="C14" s="12">
        <v>10790</v>
      </c>
    </row>
    <row r="15" spans="2:3" ht="24.95" customHeight="1" x14ac:dyDescent="0.15">
      <c r="B15" t="s">
        <v>11</v>
      </c>
      <c r="C15" s="12"/>
    </row>
    <row r="16" spans="2:3" ht="24.95" customHeight="1" x14ac:dyDescent="0.15">
      <c r="B16" t="s">
        <v>12</v>
      </c>
      <c r="C16" s="12"/>
    </row>
    <row r="17" spans="2:5" ht="24.95" customHeight="1" x14ac:dyDescent="0.15">
      <c r="C17" s="4"/>
    </row>
    <row r="18" spans="2:5" ht="24.95" customHeight="1" x14ac:dyDescent="0.25">
      <c r="B18" s="1" t="s">
        <v>13</v>
      </c>
    </row>
    <row r="19" spans="2:5" ht="24.95" customHeight="1" x14ac:dyDescent="0.15">
      <c r="B19" s="8" t="s">
        <v>8</v>
      </c>
      <c r="C19" s="8" t="s">
        <v>9</v>
      </c>
    </row>
    <row r="20" spans="2:5" ht="24.95" customHeight="1" x14ac:dyDescent="0.15">
      <c r="B20" s="15" t="s">
        <v>14</v>
      </c>
      <c r="C20" s="17">
        <v>1347.18</v>
      </c>
      <c r="E20" s="18">
        <f>SUM(C31,C32,C33,C35)</f>
        <v>522.79999999999995</v>
      </c>
    </row>
    <row r="21" spans="2:5" ht="24.95" customHeight="1" x14ac:dyDescent="0.15">
      <c r="B21" s="15" t="s">
        <v>15</v>
      </c>
      <c r="C21" s="17">
        <v>293.02999999999997</v>
      </c>
      <c r="E21" s="19">
        <v>147.49</v>
      </c>
    </row>
    <row r="22" spans="2:5" ht="24.95" customHeight="1" x14ac:dyDescent="0.15">
      <c r="B22" s="15" t="s">
        <v>16</v>
      </c>
      <c r="C22" s="17">
        <v>160.46</v>
      </c>
    </row>
    <row r="23" spans="2:5" ht="24.95" customHeight="1" x14ac:dyDescent="0.15">
      <c r="B23" s="15" t="s">
        <v>17</v>
      </c>
      <c r="C23" s="17"/>
    </row>
    <row r="24" spans="2:5" ht="24.95" customHeight="1" x14ac:dyDescent="0.15">
      <c r="B24" s="15" t="s">
        <v>18</v>
      </c>
      <c r="C24" s="17"/>
    </row>
    <row r="25" spans="2:5" ht="24.95" customHeight="1" x14ac:dyDescent="0.15">
      <c r="B25" s="15" t="s">
        <v>19</v>
      </c>
      <c r="C25" s="17">
        <v>689.3</v>
      </c>
    </row>
    <row r="26" spans="2:5" ht="24.95" customHeight="1" x14ac:dyDescent="0.15">
      <c r="B26" s="15" t="s">
        <v>37</v>
      </c>
      <c r="C26" s="17">
        <v>4900</v>
      </c>
    </row>
    <row r="27" spans="2:5" ht="24.95" customHeight="1" x14ac:dyDescent="0.15">
      <c r="B27" s="15" t="s">
        <v>21</v>
      </c>
      <c r="C27" s="17">
        <v>1000</v>
      </c>
    </row>
    <row r="28" spans="2:5" ht="24.95" customHeight="1" x14ac:dyDescent="0.15">
      <c r="B28" s="15" t="s">
        <v>22</v>
      </c>
      <c r="C28" s="17">
        <v>218</v>
      </c>
    </row>
    <row r="29" spans="2:5" ht="24.95" customHeight="1" x14ac:dyDescent="0.15">
      <c r="B29" s="15" t="s">
        <v>31</v>
      </c>
      <c r="C29" s="17">
        <v>70</v>
      </c>
    </row>
    <row r="30" spans="2:5" ht="24.95" customHeight="1" x14ac:dyDescent="0.15">
      <c r="B30" s="15" t="s">
        <v>24</v>
      </c>
      <c r="C30" s="17"/>
    </row>
    <row r="31" spans="2:5" ht="24.95" customHeight="1" x14ac:dyDescent="0.15">
      <c r="B31" s="15" t="s">
        <v>32</v>
      </c>
      <c r="C31" s="17">
        <v>90</v>
      </c>
    </row>
    <row r="32" spans="2:5" ht="24.95" customHeight="1" x14ac:dyDescent="0.15">
      <c r="B32" s="15" t="s">
        <v>33</v>
      </c>
      <c r="C32" s="17">
        <v>101.8</v>
      </c>
    </row>
    <row r="33" spans="2:3" ht="24.95" customHeight="1" x14ac:dyDescent="0.15">
      <c r="B33" s="15" t="s">
        <v>34</v>
      </c>
      <c r="C33" s="17">
        <v>190</v>
      </c>
    </row>
    <row r="34" spans="2:3" ht="24.95" customHeight="1" x14ac:dyDescent="0.15">
      <c r="B34" t="s">
        <v>35</v>
      </c>
      <c r="C34" s="17">
        <v>2800</v>
      </c>
    </row>
    <row r="35" spans="2:3" ht="24.95" customHeight="1" x14ac:dyDescent="0.15">
      <c r="B35" t="s">
        <v>38</v>
      </c>
      <c r="C35" s="17">
        <v>141</v>
      </c>
    </row>
    <row r="36" spans="2:3" ht="24.95" customHeight="1" x14ac:dyDescent="0.15">
      <c r="B36" t="s">
        <v>36</v>
      </c>
      <c r="C36" s="17">
        <v>115</v>
      </c>
    </row>
    <row r="37" spans="2:3" ht="24.95" customHeight="1" x14ac:dyDescent="0.25">
      <c r="B37" s="1" t="s">
        <v>28</v>
      </c>
      <c r="C37" s="6"/>
    </row>
    <row r="38" spans="2:3" ht="24.95" customHeight="1" x14ac:dyDescent="0.15">
      <c r="B38" s="13" t="s">
        <v>29</v>
      </c>
      <c r="C38" s="8" t="s">
        <v>9</v>
      </c>
    </row>
    <row r="39" spans="2:3" ht="24.95" customHeight="1" x14ac:dyDescent="0.15">
      <c r="B39" s="5" t="s">
        <v>30</v>
      </c>
      <c r="C39" s="12">
        <v>0</v>
      </c>
    </row>
    <row r="40" spans="2:3" ht="24.95" customHeight="1" x14ac:dyDescent="0.15">
      <c r="B40" s="5" t="s">
        <v>30</v>
      </c>
      <c r="C40" s="12">
        <v>0</v>
      </c>
    </row>
    <row r="41" spans="2:3" ht="24.95" customHeight="1" x14ac:dyDescent="0.15">
      <c r="B41" s="5" t="s">
        <v>30</v>
      </c>
      <c r="C41" s="12">
        <v>0</v>
      </c>
    </row>
  </sheetData>
  <printOptions horizontalCentered="1"/>
  <pageMargins left="0.35" right="0.41" top="0.41" bottom="0.35" header="0.3" footer="0.3"/>
  <pageSetup paperSize="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2779B00F-0A61-A347-9989-83F7EA2D2AE6}">
            <xm:f>'Dados do gráfico'!$B$6</xm:f>
            <x14:dxf>
              <font>
                <color theme="5" tint="-0.24991607409894101"/>
              </font>
            </x14:dxf>
          </x14:cfRule>
          <xm:sqref>C10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8859E-88E3-4C39-9EDF-3CAE4C60E54D}">
  <sheetPr>
    <tabColor theme="4"/>
    <pageSetUpPr fitToPage="1"/>
  </sheetPr>
  <dimension ref="B1:F41"/>
  <sheetViews>
    <sheetView showGridLines="0" zoomScale="125" zoomScaleNormal="125" workbookViewId="0">
      <selection activeCell="C25" sqref="C25"/>
    </sheetView>
  </sheetViews>
  <sheetFormatPr defaultColWidth="8.875" defaultRowHeight="28.5" customHeight="1" x14ac:dyDescent="0.15"/>
  <cols>
    <col min="1" max="1" width="3.2578125" customWidth="1"/>
    <col min="2" max="2" width="40.23046875" customWidth="1"/>
    <col min="3" max="3" width="20.33984375" customWidth="1"/>
    <col min="4" max="4" width="8.98828125" customWidth="1"/>
    <col min="5" max="5" width="11.125" bestFit="1" customWidth="1"/>
    <col min="6" max="6" width="10.3359375" customWidth="1"/>
  </cols>
  <sheetData>
    <row r="1" spans="2:3" ht="35.25" customHeight="1" x14ac:dyDescent="0.4">
      <c r="B1" s="9" t="s">
        <v>0</v>
      </c>
      <c r="C1" s="1"/>
    </row>
    <row r="2" spans="2:3" ht="37.5" customHeight="1" x14ac:dyDescent="0.25">
      <c r="B2" s="1" t="s">
        <v>1</v>
      </c>
      <c r="C2" s="1" t="s">
        <v>2</v>
      </c>
    </row>
    <row r="3" spans="2:3" ht="30" customHeight="1" x14ac:dyDescent="0.15">
      <c r="B3" s="2"/>
      <c r="C3" t="s">
        <v>3</v>
      </c>
    </row>
    <row r="4" spans="2:3" ht="20.45" customHeight="1" x14ac:dyDescent="0.15">
      <c r="C4" s="11">
        <f>SUM(Renda710131619[Valor])</f>
        <v>10790</v>
      </c>
    </row>
    <row r="5" spans="2:3" ht="20.45" customHeight="1" x14ac:dyDescent="0.15">
      <c r="C5" t="s">
        <v>4</v>
      </c>
    </row>
    <row r="6" spans="2:3" ht="20.45" customHeight="1" x14ac:dyDescent="0.15">
      <c r="C6" s="11">
        <f>SUM(Despesas69121518[Valor])</f>
        <v>10605.96</v>
      </c>
    </row>
    <row r="7" spans="2:3" ht="20.45" customHeight="1" x14ac:dyDescent="0.15">
      <c r="C7" t="s">
        <v>5</v>
      </c>
    </row>
    <row r="8" spans="2:3" ht="20.45" customHeight="1" x14ac:dyDescent="0.15">
      <c r="C8" s="11">
        <f>SUM(Economias58111417[Valor])</f>
        <v>0</v>
      </c>
    </row>
    <row r="9" spans="2:3" ht="20.45" customHeight="1" x14ac:dyDescent="0.15">
      <c r="C9" t="s">
        <v>6</v>
      </c>
    </row>
    <row r="10" spans="2:3" ht="20.45" customHeight="1" x14ac:dyDescent="0.15">
      <c r="C10" s="11">
        <f>Renda_mensal_total-Total_mensal_de_despesas-Economia_mensal_total</f>
        <v>184.04000000000087</v>
      </c>
    </row>
    <row r="11" spans="2:3" ht="22.5" customHeight="1" x14ac:dyDescent="0.15">
      <c r="B11" s="3">
        <f>MIN(Total_mensal_de_despesas/Renda_mensal_total,1)</f>
        <v>0.98294346617238171</v>
      </c>
    </row>
    <row r="12" spans="2:3" ht="37.5" customHeight="1" x14ac:dyDescent="0.25">
      <c r="B12" s="1" t="s">
        <v>7</v>
      </c>
    </row>
    <row r="13" spans="2:3" ht="24.95" customHeight="1" x14ac:dyDescent="0.15">
      <c r="B13" s="7" t="s">
        <v>8</v>
      </c>
      <c r="C13" s="7" t="s">
        <v>9</v>
      </c>
    </row>
    <row r="14" spans="2:3" ht="24.95" customHeight="1" x14ac:dyDescent="0.15">
      <c r="B14" t="s">
        <v>10</v>
      </c>
      <c r="C14" s="12">
        <v>10790</v>
      </c>
    </row>
    <row r="15" spans="2:3" ht="24.95" customHeight="1" x14ac:dyDescent="0.15">
      <c r="B15" t="s">
        <v>11</v>
      </c>
      <c r="C15" s="12"/>
    </row>
    <row r="16" spans="2:3" ht="24.95" customHeight="1" x14ac:dyDescent="0.15">
      <c r="B16" t="s">
        <v>12</v>
      </c>
      <c r="C16" s="12"/>
    </row>
    <row r="17" spans="2:6" ht="24.95" customHeight="1" x14ac:dyDescent="0.15">
      <c r="C17" s="4"/>
    </row>
    <row r="18" spans="2:6" ht="24.95" customHeight="1" x14ac:dyDescent="0.25">
      <c r="B18" s="1" t="s">
        <v>13</v>
      </c>
    </row>
    <row r="19" spans="2:6" ht="24.95" customHeight="1" x14ac:dyDescent="0.15">
      <c r="B19" s="8" t="s">
        <v>8</v>
      </c>
      <c r="C19" s="8" t="s">
        <v>9</v>
      </c>
    </row>
    <row r="20" spans="2:6" ht="24.95" customHeight="1" x14ac:dyDescent="0.15">
      <c r="B20" s="15" t="s">
        <v>14</v>
      </c>
      <c r="C20" s="17">
        <v>1347.18</v>
      </c>
      <c r="E20" s="18"/>
    </row>
    <row r="21" spans="2:6" ht="24.95" customHeight="1" x14ac:dyDescent="0.15">
      <c r="B21" s="15" t="s">
        <v>15</v>
      </c>
      <c r="C21" s="16">
        <v>241.08</v>
      </c>
      <c r="E21" s="19"/>
      <c r="F21" s="20">
        <v>1347.18</v>
      </c>
    </row>
    <row r="22" spans="2:6" ht="24.95" customHeight="1" x14ac:dyDescent="0.15">
      <c r="B22" s="15" t="s">
        <v>16</v>
      </c>
      <c r="C22" s="16">
        <v>160.46</v>
      </c>
      <c r="F22" s="20">
        <v>0</v>
      </c>
    </row>
    <row r="23" spans="2:6" ht="24.95" customHeight="1" x14ac:dyDescent="0.15">
      <c r="B23" s="15" t="s">
        <v>39</v>
      </c>
      <c r="C23" s="16">
        <v>30</v>
      </c>
      <c r="F23" s="20">
        <v>0</v>
      </c>
    </row>
    <row r="24" spans="2:6" ht="24.95" customHeight="1" x14ac:dyDescent="0.15">
      <c r="B24" s="15" t="s">
        <v>40</v>
      </c>
      <c r="C24" s="16">
        <v>0</v>
      </c>
      <c r="F24" s="20">
        <v>0</v>
      </c>
    </row>
    <row r="25" spans="2:6" ht="24.95" customHeight="1" x14ac:dyDescent="0.15">
      <c r="B25" s="15" t="s">
        <v>19</v>
      </c>
      <c r="C25" s="16">
        <v>689.3</v>
      </c>
      <c r="F25" s="20">
        <v>0</v>
      </c>
    </row>
    <row r="26" spans="2:6" ht="24.95" customHeight="1" x14ac:dyDescent="0.15">
      <c r="B26" s="15" t="s">
        <v>37</v>
      </c>
      <c r="C26" s="16">
        <v>4405.63</v>
      </c>
      <c r="F26" s="20">
        <v>0</v>
      </c>
    </row>
    <row r="27" spans="2:6" ht="24.95" customHeight="1" x14ac:dyDescent="0.15">
      <c r="B27" s="15" t="s">
        <v>21</v>
      </c>
      <c r="C27" s="16">
        <v>1000</v>
      </c>
      <c r="F27" s="20">
        <v>0</v>
      </c>
    </row>
    <row r="28" spans="2:6" ht="24.95" customHeight="1" x14ac:dyDescent="0.15">
      <c r="B28" s="15" t="s">
        <v>22</v>
      </c>
      <c r="C28" s="16">
        <v>212.09</v>
      </c>
      <c r="F28" s="20">
        <v>0</v>
      </c>
    </row>
    <row r="29" spans="2:6" ht="24.95" customHeight="1" x14ac:dyDescent="0.15">
      <c r="B29" s="15" t="s">
        <v>31</v>
      </c>
      <c r="C29" s="16">
        <v>135.68</v>
      </c>
      <c r="F29" s="20">
        <v>0</v>
      </c>
    </row>
    <row r="30" spans="2:6" ht="24.95" customHeight="1" x14ac:dyDescent="0.15">
      <c r="B30" s="15" t="s">
        <v>24</v>
      </c>
      <c r="C30" s="16">
        <v>64.88</v>
      </c>
      <c r="F30" s="20">
        <v>0</v>
      </c>
    </row>
    <row r="31" spans="2:6" ht="24.95" customHeight="1" x14ac:dyDescent="0.15">
      <c r="B31" s="15" t="s">
        <v>32</v>
      </c>
      <c r="C31" s="16">
        <v>90</v>
      </c>
      <c r="F31" s="20">
        <v>0</v>
      </c>
    </row>
    <row r="32" spans="2:6" ht="24.95" customHeight="1" x14ac:dyDescent="0.15">
      <c r="B32" s="15" t="s">
        <v>33</v>
      </c>
      <c r="C32" s="16">
        <v>109.8</v>
      </c>
      <c r="F32" s="18">
        <f>SUM(F21:F31)</f>
        <v>1347.18</v>
      </c>
    </row>
    <row r="33" spans="2:3" ht="24.95" customHeight="1" x14ac:dyDescent="0.15">
      <c r="B33" s="15" t="s">
        <v>34</v>
      </c>
      <c r="C33" s="16">
        <v>71.09</v>
      </c>
    </row>
    <row r="34" spans="2:3" ht="24.95" customHeight="1" x14ac:dyDescent="0.15">
      <c r="B34" t="s">
        <v>35</v>
      </c>
      <c r="C34" s="16">
        <v>1563.59</v>
      </c>
    </row>
    <row r="35" spans="2:3" ht="24.95" customHeight="1" x14ac:dyDescent="0.15">
      <c r="B35" t="s">
        <v>38</v>
      </c>
      <c r="C35" s="16">
        <v>156.29</v>
      </c>
    </row>
    <row r="36" spans="2:3" ht="24.95" customHeight="1" x14ac:dyDescent="0.15">
      <c r="B36" t="s">
        <v>36</v>
      </c>
      <c r="C36" s="16">
        <v>328.89</v>
      </c>
    </row>
    <row r="37" spans="2:3" ht="24.95" customHeight="1" x14ac:dyDescent="0.25">
      <c r="B37" s="1" t="s">
        <v>28</v>
      </c>
      <c r="C37" s="6"/>
    </row>
    <row r="38" spans="2:3" ht="24.95" customHeight="1" x14ac:dyDescent="0.15">
      <c r="B38" s="13" t="s">
        <v>29</v>
      </c>
      <c r="C38" s="8" t="s">
        <v>9</v>
      </c>
    </row>
    <row r="39" spans="2:3" ht="24.95" customHeight="1" x14ac:dyDescent="0.15">
      <c r="B39" s="5" t="s">
        <v>30</v>
      </c>
      <c r="C39" s="12">
        <v>0</v>
      </c>
    </row>
    <row r="40" spans="2:3" ht="24.95" customHeight="1" x14ac:dyDescent="0.15">
      <c r="B40" s="5" t="s">
        <v>30</v>
      </c>
      <c r="C40" s="12">
        <v>0</v>
      </c>
    </row>
    <row r="41" spans="2:3" ht="24.95" customHeight="1" x14ac:dyDescent="0.15">
      <c r="B41" s="5" t="s">
        <v>30</v>
      </c>
      <c r="C41" s="12">
        <v>0</v>
      </c>
    </row>
  </sheetData>
  <printOptions horizontalCentered="1"/>
  <pageMargins left="0.35" right="0.41" top="0.41" bottom="0.35" header="0.3" footer="0.3"/>
  <pageSetup paperSize="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88399E79-4BCC-45AB-A5E6-D8F29BB9F58B}">
            <xm:f>'Dados do gráfico'!$B$6</xm:f>
            <x14:dxf>
              <font>
                <color theme="5" tint="-0.24991607409894101"/>
              </font>
            </x14:dxf>
          </x14:cfRule>
          <xm:sqref>C10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71CB1-7579-4842-B627-59FC62BDE986}">
  <sheetPr>
    <tabColor theme="4"/>
    <pageSetUpPr fitToPage="1"/>
  </sheetPr>
  <dimension ref="B1:F41"/>
  <sheetViews>
    <sheetView showGridLines="0" topLeftCell="B1" zoomScale="125" zoomScaleNormal="125" workbookViewId="0">
      <selection activeCell="H28" sqref="H28"/>
    </sheetView>
  </sheetViews>
  <sheetFormatPr defaultColWidth="8.875" defaultRowHeight="28.5" customHeight="1" x14ac:dyDescent="0.15"/>
  <cols>
    <col min="1" max="1" width="3.2578125" customWidth="1"/>
    <col min="2" max="2" width="40.23046875" customWidth="1"/>
    <col min="3" max="3" width="20.33984375" customWidth="1"/>
    <col min="4" max="4" width="8.98828125" customWidth="1"/>
    <col min="5" max="5" width="11.125" bestFit="1" customWidth="1"/>
    <col min="6" max="6" width="10.3359375" customWidth="1"/>
  </cols>
  <sheetData>
    <row r="1" spans="2:3" ht="35.25" customHeight="1" x14ac:dyDescent="0.4">
      <c r="B1" s="9" t="s">
        <v>0</v>
      </c>
      <c r="C1" s="1"/>
    </row>
    <row r="2" spans="2:3" ht="37.5" customHeight="1" x14ac:dyDescent="0.25">
      <c r="B2" s="1" t="s">
        <v>1</v>
      </c>
      <c r="C2" s="1" t="s">
        <v>2</v>
      </c>
    </row>
    <row r="3" spans="2:3" ht="30" customHeight="1" x14ac:dyDescent="0.15">
      <c r="B3" s="2"/>
      <c r="C3" t="s">
        <v>3</v>
      </c>
    </row>
    <row r="4" spans="2:3" ht="20.45" customHeight="1" x14ac:dyDescent="0.15">
      <c r="C4" s="11">
        <f>SUM(Renda71013161922[Valor])</f>
        <v>10790</v>
      </c>
    </row>
    <row r="5" spans="2:3" ht="20.45" customHeight="1" x14ac:dyDescent="0.15">
      <c r="C5" t="s">
        <v>4</v>
      </c>
    </row>
    <row r="6" spans="2:3" ht="20.45" customHeight="1" x14ac:dyDescent="0.15">
      <c r="C6" s="11">
        <f>SUM(Despesas6912151821[Valor])</f>
        <v>11170.48</v>
      </c>
    </row>
    <row r="7" spans="2:3" ht="20.45" customHeight="1" x14ac:dyDescent="0.15">
      <c r="C7" t="s">
        <v>5</v>
      </c>
    </row>
    <row r="8" spans="2:3" ht="20.45" customHeight="1" x14ac:dyDescent="0.15">
      <c r="C8" s="11">
        <f>SUM(Economias5811141720[Valor])</f>
        <v>0</v>
      </c>
    </row>
    <row r="9" spans="2:3" ht="20.45" customHeight="1" x14ac:dyDescent="0.15">
      <c r="C9" t="s">
        <v>6</v>
      </c>
    </row>
    <row r="10" spans="2:3" ht="20.45" customHeight="1" x14ac:dyDescent="0.15">
      <c r="C10" s="11">
        <f>Renda_mensal_total-Total_mensal_de_despesas-Economia_mensal_total</f>
        <v>-380.47999999999956</v>
      </c>
    </row>
    <row r="11" spans="2:3" ht="22.5" customHeight="1" x14ac:dyDescent="0.15">
      <c r="B11" s="3">
        <f>MIN(Total_mensal_de_despesas/Renda_mensal_total,1)</f>
        <v>1</v>
      </c>
    </row>
    <row r="12" spans="2:3" ht="37.5" customHeight="1" x14ac:dyDescent="0.25">
      <c r="B12" s="1" t="s">
        <v>7</v>
      </c>
    </row>
    <row r="13" spans="2:3" ht="24.95" customHeight="1" x14ac:dyDescent="0.15">
      <c r="B13" s="7" t="s">
        <v>8</v>
      </c>
      <c r="C13" s="7" t="s">
        <v>9</v>
      </c>
    </row>
    <row r="14" spans="2:3" ht="24.95" customHeight="1" x14ac:dyDescent="0.15">
      <c r="B14" t="s">
        <v>10</v>
      </c>
      <c r="C14" s="12">
        <v>10790</v>
      </c>
    </row>
    <row r="15" spans="2:3" ht="24.95" customHeight="1" x14ac:dyDescent="0.15">
      <c r="B15" t="s">
        <v>11</v>
      </c>
      <c r="C15" s="12"/>
    </row>
    <row r="16" spans="2:3" ht="24.95" customHeight="1" x14ac:dyDescent="0.15">
      <c r="B16" t="s">
        <v>12</v>
      </c>
      <c r="C16" s="12"/>
    </row>
    <row r="17" spans="2:6" ht="24.95" customHeight="1" x14ac:dyDescent="0.15">
      <c r="C17" s="4"/>
    </row>
    <row r="18" spans="2:6" ht="24.95" customHeight="1" x14ac:dyDescent="0.25">
      <c r="B18" s="1" t="s">
        <v>13</v>
      </c>
    </row>
    <row r="19" spans="2:6" ht="24.95" customHeight="1" x14ac:dyDescent="0.15">
      <c r="B19" s="8" t="s">
        <v>8</v>
      </c>
      <c r="C19" s="8" t="s">
        <v>9</v>
      </c>
    </row>
    <row r="20" spans="2:6" ht="24.95" customHeight="1" x14ac:dyDescent="0.15">
      <c r="B20" s="15" t="s">
        <v>14</v>
      </c>
      <c r="C20" s="21">
        <v>1356.26</v>
      </c>
      <c r="E20" s="18"/>
    </row>
    <row r="21" spans="2:6" ht="24.95" customHeight="1" x14ac:dyDescent="0.15">
      <c r="B21" s="15" t="s">
        <v>15</v>
      </c>
      <c r="C21" s="21">
        <v>240.3</v>
      </c>
      <c r="E21" s="19"/>
      <c r="F21" s="20">
        <v>0</v>
      </c>
    </row>
    <row r="22" spans="2:6" ht="24.95" customHeight="1" x14ac:dyDescent="0.15">
      <c r="B22" s="15" t="s">
        <v>16</v>
      </c>
      <c r="C22" s="21">
        <v>160.46</v>
      </c>
      <c r="F22" s="20">
        <v>0</v>
      </c>
    </row>
    <row r="23" spans="2:6" ht="24.95" customHeight="1" x14ac:dyDescent="0.15">
      <c r="B23" s="15" t="s">
        <v>39</v>
      </c>
      <c r="C23" s="21">
        <v>30</v>
      </c>
      <c r="F23" s="20">
        <v>0</v>
      </c>
    </row>
    <row r="24" spans="2:6" ht="24.95" customHeight="1" x14ac:dyDescent="0.15">
      <c r="B24" s="15" t="s">
        <v>23</v>
      </c>
      <c r="C24" s="21">
        <v>49.96</v>
      </c>
      <c r="F24" s="20">
        <v>0</v>
      </c>
    </row>
    <row r="25" spans="2:6" ht="24.95" customHeight="1" x14ac:dyDescent="0.15">
      <c r="B25" s="15" t="s">
        <v>19</v>
      </c>
      <c r="C25" s="21">
        <v>689.3</v>
      </c>
      <c r="F25" s="20">
        <v>0</v>
      </c>
    </row>
    <row r="26" spans="2:6" ht="24.95" customHeight="1" x14ac:dyDescent="0.15">
      <c r="B26" s="15" t="s">
        <v>37</v>
      </c>
      <c r="C26" s="21">
        <v>4872.97</v>
      </c>
      <c r="F26" s="20">
        <v>0</v>
      </c>
    </row>
    <row r="27" spans="2:6" ht="24.95" customHeight="1" x14ac:dyDescent="0.15">
      <c r="B27" s="15" t="s">
        <v>21</v>
      </c>
      <c r="C27" s="21">
        <v>1000</v>
      </c>
      <c r="F27" s="20">
        <v>0</v>
      </c>
    </row>
    <row r="28" spans="2:6" ht="24.95" customHeight="1" x14ac:dyDescent="0.15">
      <c r="B28" s="15" t="s">
        <v>22</v>
      </c>
      <c r="C28" s="21">
        <v>212.09</v>
      </c>
      <c r="F28" s="20">
        <v>0</v>
      </c>
    </row>
    <row r="29" spans="2:6" ht="24.95" customHeight="1" x14ac:dyDescent="0.15">
      <c r="B29" s="15" t="s">
        <v>31</v>
      </c>
      <c r="C29" s="22">
        <v>196.67</v>
      </c>
      <c r="F29" s="20">
        <v>0</v>
      </c>
    </row>
    <row r="30" spans="2:6" ht="24.95" customHeight="1" x14ac:dyDescent="0.15">
      <c r="B30" s="15" t="s">
        <v>24</v>
      </c>
      <c r="C30" s="21">
        <v>201.99</v>
      </c>
      <c r="F30" s="20">
        <v>71</v>
      </c>
    </row>
    <row r="31" spans="2:6" ht="24.95" customHeight="1" x14ac:dyDescent="0.15">
      <c r="B31" s="15" t="s">
        <v>32</v>
      </c>
      <c r="C31" s="21">
        <v>90</v>
      </c>
      <c r="F31" s="20">
        <v>0</v>
      </c>
    </row>
    <row r="32" spans="2:6" ht="24.95" customHeight="1" x14ac:dyDescent="0.15">
      <c r="B32" s="15" t="s">
        <v>33</v>
      </c>
      <c r="C32" s="21">
        <v>124.14</v>
      </c>
      <c r="F32" s="12">
        <v>0</v>
      </c>
    </row>
    <row r="33" spans="2:6" ht="24.95" customHeight="1" x14ac:dyDescent="0.15">
      <c r="B33" s="15" t="s">
        <v>34</v>
      </c>
      <c r="C33" s="17">
        <v>71.09</v>
      </c>
      <c r="F33" s="12">
        <v>0</v>
      </c>
    </row>
    <row r="34" spans="2:6" ht="24.95" customHeight="1" x14ac:dyDescent="0.15">
      <c r="B34" t="s">
        <v>35</v>
      </c>
      <c r="C34" s="21">
        <v>1368</v>
      </c>
      <c r="F34" s="18">
        <f>SUM(F21:F33)</f>
        <v>71</v>
      </c>
    </row>
    <row r="35" spans="2:6" ht="24.95" customHeight="1" x14ac:dyDescent="0.15">
      <c r="B35" t="s">
        <v>38</v>
      </c>
      <c r="C35" s="21">
        <v>156.29</v>
      </c>
    </row>
    <row r="36" spans="2:6" ht="24.95" customHeight="1" x14ac:dyDescent="0.15">
      <c r="B36" t="s">
        <v>36</v>
      </c>
      <c r="C36" s="21">
        <v>350.96</v>
      </c>
    </row>
    <row r="37" spans="2:6" ht="24.95" customHeight="1" x14ac:dyDescent="0.25">
      <c r="B37" s="1" t="s">
        <v>28</v>
      </c>
      <c r="C37" s="6"/>
    </row>
    <row r="38" spans="2:6" ht="24.95" customHeight="1" x14ac:dyDescent="0.15">
      <c r="B38" s="13" t="s">
        <v>29</v>
      </c>
      <c r="C38" s="8" t="s">
        <v>9</v>
      </c>
    </row>
    <row r="39" spans="2:6" ht="24.95" customHeight="1" x14ac:dyDescent="0.15">
      <c r="B39" s="5" t="s">
        <v>30</v>
      </c>
      <c r="C39" s="12">
        <v>0</v>
      </c>
    </row>
    <row r="40" spans="2:6" ht="24.95" customHeight="1" x14ac:dyDescent="0.15">
      <c r="B40" s="5" t="s">
        <v>30</v>
      </c>
      <c r="C40" s="12">
        <v>0</v>
      </c>
    </row>
    <row r="41" spans="2:6" ht="24.95" customHeight="1" x14ac:dyDescent="0.15">
      <c r="B41" s="5" t="s">
        <v>30</v>
      </c>
      <c r="C41" s="12">
        <v>0</v>
      </c>
    </row>
  </sheetData>
  <printOptions horizontalCentered="1"/>
  <pageMargins left="0.35" right="0.41" top="0.41" bottom="0.35" header="0.3" footer="0.3"/>
  <pageSetup paperSize="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ACB685A-3CBB-4C09-A854-1DE701FD4634}">
            <xm:f>'Dados do gráfico'!$B$6</xm:f>
            <x14:dxf>
              <font>
                <color theme="5" tint="-0.24991607409894101"/>
              </font>
            </x14:dxf>
          </x14:cfRule>
          <xm:sqref>C10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3147-0F61-4BDE-A20B-433EE6254DBA}">
  <sheetPr>
    <tabColor theme="4"/>
    <pageSetUpPr fitToPage="1"/>
  </sheetPr>
  <dimension ref="B1:F42"/>
  <sheetViews>
    <sheetView showGridLines="0" topLeftCell="B1" zoomScale="125" zoomScaleNormal="125" workbookViewId="0">
      <selection activeCell="F27" sqref="F27"/>
    </sheetView>
  </sheetViews>
  <sheetFormatPr defaultColWidth="8.875" defaultRowHeight="28.5" customHeight="1" x14ac:dyDescent="0.15"/>
  <cols>
    <col min="1" max="1" width="3.2578125" customWidth="1"/>
    <col min="2" max="2" width="40.23046875" customWidth="1"/>
    <col min="3" max="3" width="20.33984375" customWidth="1"/>
    <col min="4" max="4" width="8.98828125" customWidth="1"/>
    <col min="5" max="5" width="11.125" bestFit="1" customWidth="1"/>
    <col min="6" max="6" width="10.3359375" customWidth="1"/>
  </cols>
  <sheetData>
    <row r="1" spans="2:3" ht="35.25" customHeight="1" x14ac:dyDescent="0.4">
      <c r="B1" s="9" t="s">
        <v>0</v>
      </c>
      <c r="C1" s="1"/>
    </row>
    <row r="2" spans="2:3" ht="37.5" customHeight="1" x14ac:dyDescent="0.25">
      <c r="B2" s="1" t="s">
        <v>1</v>
      </c>
      <c r="C2" s="1" t="s">
        <v>2</v>
      </c>
    </row>
    <row r="3" spans="2:3" ht="30" customHeight="1" x14ac:dyDescent="0.15">
      <c r="B3" s="2"/>
      <c r="C3" t="s">
        <v>3</v>
      </c>
    </row>
    <row r="4" spans="2:3" ht="20.45" customHeight="1" x14ac:dyDescent="0.15">
      <c r="C4" s="11">
        <f>SUM(Renda7101316192225[Valor])</f>
        <v>17220.03</v>
      </c>
    </row>
    <row r="5" spans="2:3" ht="20.45" customHeight="1" x14ac:dyDescent="0.15">
      <c r="C5" t="s">
        <v>4</v>
      </c>
    </row>
    <row r="6" spans="2:3" ht="20.45" customHeight="1" x14ac:dyDescent="0.15">
      <c r="C6" s="11">
        <f>SUM(Despesas691215182124[Valor])</f>
        <v>11449.329999999996</v>
      </c>
    </row>
    <row r="7" spans="2:3" ht="20.45" customHeight="1" x14ac:dyDescent="0.15">
      <c r="C7" t="s">
        <v>5</v>
      </c>
    </row>
    <row r="8" spans="2:3" ht="20.45" customHeight="1" x14ac:dyDescent="0.15">
      <c r="C8" s="11">
        <f>SUM(Economias581114172023[Valor])</f>
        <v>0</v>
      </c>
    </row>
    <row r="9" spans="2:3" ht="20.45" customHeight="1" x14ac:dyDescent="0.15">
      <c r="C9" t="s">
        <v>6</v>
      </c>
    </row>
    <row r="10" spans="2:3" ht="20.45" customHeight="1" x14ac:dyDescent="0.15">
      <c r="C10" s="11">
        <f>Renda_mensal_total-Total_mensal_de_despesas-Economia_mensal_total</f>
        <v>5770.7000000000025</v>
      </c>
    </row>
    <row r="11" spans="2:3" ht="22.5" customHeight="1" x14ac:dyDescent="0.15">
      <c r="B11" s="3">
        <f>MIN(Total_mensal_de_despesas/Renda_mensal_total,1)</f>
        <v>0.66488443980643452</v>
      </c>
    </row>
    <row r="12" spans="2:3" ht="37.5" customHeight="1" x14ac:dyDescent="0.25">
      <c r="B12" s="1" t="s">
        <v>7</v>
      </c>
    </row>
    <row r="13" spans="2:3" ht="24.95" customHeight="1" x14ac:dyDescent="0.15">
      <c r="B13" s="7" t="s">
        <v>8</v>
      </c>
      <c r="C13" s="7" t="s">
        <v>9</v>
      </c>
    </row>
    <row r="14" spans="2:3" ht="24.95" customHeight="1" x14ac:dyDescent="0.15">
      <c r="B14" t="s">
        <v>10</v>
      </c>
      <c r="C14" s="12">
        <v>17220.03</v>
      </c>
    </row>
    <row r="15" spans="2:3" ht="24.95" customHeight="1" x14ac:dyDescent="0.15">
      <c r="B15" t="s">
        <v>11</v>
      </c>
      <c r="C15" s="12"/>
    </row>
    <row r="16" spans="2:3" ht="24.95" customHeight="1" x14ac:dyDescent="0.15">
      <c r="B16" t="s">
        <v>12</v>
      </c>
      <c r="C16" s="12"/>
    </row>
    <row r="17" spans="2:6" ht="24.95" customHeight="1" x14ac:dyDescent="0.15">
      <c r="C17" s="4"/>
    </row>
    <row r="18" spans="2:6" ht="24.95" customHeight="1" x14ac:dyDescent="0.25">
      <c r="B18" s="1" t="s">
        <v>13</v>
      </c>
    </row>
    <row r="19" spans="2:6" ht="24.95" customHeight="1" x14ac:dyDescent="0.15">
      <c r="B19" s="8" t="s">
        <v>8</v>
      </c>
      <c r="C19" s="8" t="s">
        <v>9</v>
      </c>
    </row>
    <row r="20" spans="2:6" ht="24.95" customHeight="1" x14ac:dyDescent="0.15">
      <c r="B20" s="15" t="s">
        <v>14</v>
      </c>
      <c r="C20" s="16">
        <v>1356.26</v>
      </c>
      <c r="E20" s="18"/>
    </row>
    <row r="21" spans="2:6" ht="24.95" customHeight="1" x14ac:dyDescent="0.15">
      <c r="B21" s="15" t="s">
        <v>15</v>
      </c>
      <c r="C21" s="16">
        <v>262.77</v>
      </c>
      <c r="E21" s="19"/>
      <c r="F21" s="20">
        <v>0</v>
      </c>
    </row>
    <row r="22" spans="2:6" ht="24.95" customHeight="1" x14ac:dyDescent="0.15">
      <c r="B22" s="15" t="s">
        <v>16</v>
      </c>
      <c r="C22" s="16">
        <v>160.46</v>
      </c>
      <c r="F22" s="20">
        <v>0</v>
      </c>
    </row>
    <row r="23" spans="2:6" ht="24.95" customHeight="1" x14ac:dyDescent="0.15">
      <c r="B23" s="15" t="s">
        <v>39</v>
      </c>
      <c r="C23" s="16">
        <v>30</v>
      </c>
      <c r="F23" s="20">
        <v>0</v>
      </c>
    </row>
    <row r="24" spans="2:6" ht="24.95" customHeight="1" x14ac:dyDescent="0.15">
      <c r="B24" s="15" t="s">
        <v>23</v>
      </c>
      <c r="C24" s="16">
        <v>93.26</v>
      </c>
      <c r="F24" s="20">
        <v>0</v>
      </c>
    </row>
    <row r="25" spans="2:6" ht="24.95" customHeight="1" x14ac:dyDescent="0.15">
      <c r="B25" s="15" t="s">
        <v>19</v>
      </c>
      <c r="C25" s="16">
        <v>689.3</v>
      </c>
      <c r="F25" s="20">
        <v>0</v>
      </c>
    </row>
    <row r="26" spans="2:6" ht="24.95" customHeight="1" x14ac:dyDescent="0.15">
      <c r="B26" s="15" t="s">
        <v>37</v>
      </c>
      <c r="C26" s="16">
        <v>5000</v>
      </c>
      <c r="F26" s="20">
        <v>0</v>
      </c>
    </row>
    <row r="27" spans="2:6" ht="24.95" customHeight="1" x14ac:dyDescent="0.15">
      <c r="B27" s="15" t="s">
        <v>21</v>
      </c>
      <c r="C27" s="16">
        <v>1000</v>
      </c>
      <c r="F27" s="20">
        <v>0</v>
      </c>
    </row>
    <row r="28" spans="2:6" ht="24.95" customHeight="1" x14ac:dyDescent="0.15">
      <c r="B28" s="15" t="s">
        <v>22</v>
      </c>
      <c r="C28" s="16">
        <v>252.05</v>
      </c>
      <c r="F28" s="20">
        <v>0</v>
      </c>
    </row>
    <row r="29" spans="2:6" ht="24.95" customHeight="1" x14ac:dyDescent="0.15">
      <c r="B29" s="15" t="s">
        <v>31</v>
      </c>
      <c r="C29" s="23">
        <v>59.89</v>
      </c>
      <c r="F29" s="20">
        <v>0</v>
      </c>
    </row>
    <row r="30" spans="2:6" ht="24.95" customHeight="1" x14ac:dyDescent="0.15">
      <c r="B30" s="15" t="s">
        <v>24</v>
      </c>
      <c r="C30" s="16">
        <v>146.97999999999999</v>
      </c>
      <c r="F30" s="20">
        <v>0</v>
      </c>
    </row>
    <row r="31" spans="2:6" ht="24.95" customHeight="1" x14ac:dyDescent="0.15">
      <c r="B31" s="15" t="s">
        <v>32</v>
      </c>
      <c r="C31" s="16">
        <v>90</v>
      </c>
      <c r="F31" s="20">
        <v>0</v>
      </c>
    </row>
    <row r="32" spans="2:6" ht="24.95" customHeight="1" x14ac:dyDescent="0.15">
      <c r="B32" s="15" t="s">
        <v>33</v>
      </c>
      <c r="C32" s="16">
        <v>77.23</v>
      </c>
      <c r="F32" s="12">
        <v>0</v>
      </c>
    </row>
    <row r="33" spans="2:6" ht="24.95" customHeight="1" x14ac:dyDescent="0.15">
      <c r="B33" s="15" t="s">
        <v>34</v>
      </c>
      <c r="C33" s="16">
        <v>71.09</v>
      </c>
      <c r="F33" s="12">
        <v>0</v>
      </c>
    </row>
    <row r="34" spans="2:6" ht="24.95" customHeight="1" x14ac:dyDescent="0.15">
      <c r="B34" t="s">
        <v>35</v>
      </c>
      <c r="C34" s="16">
        <v>1774</v>
      </c>
      <c r="F34" s="18">
        <f>SUM(F21:F33)</f>
        <v>0</v>
      </c>
    </row>
    <row r="35" spans="2:6" ht="24.95" customHeight="1" x14ac:dyDescent="0.15">
      <c r="B35" t="s">
        <v>38</v>
      </c>
      <c r="C35" s="16">
        <v>112</v>
      </c>
    </row>
    <row r="36" spans="2:6" ht="24.95" customHeight="1" x14ac:dyDescent="0.15">
      <c r="B36" t="s">
        <v>36</v>
      </c>
      <c r="C36" s="16">
        <v>156.66</v>
      </c>
    </row>
    <row r="37" spans="2:6" ht="24.95" customHeight="1" x14ac:dyDescent="0.15">
      <c r="B37" t="s">
        <v>40</v>
      </c>
      <c r="C37" s="16">
        <v>117.38</v>
      </c>
    </row>
    <row r="38" spans="2:6" ht="24.95" customHeight="1" x14ac:dyDescent="0.25">
      <c r="B38" s="1" t="s">
        <v>28</v>
      </c>
      <c r="C38" s="6"/>
    </row>
    <row r="39" spans="2:6" ht="24.95" customHeight="1" x14ac:dyDescent="0.15">
      <c r="B39" s="13" t="s">
        <v>29</v>
      </c>
      <c r="C39" s="8" t="s">
        <v>9</v>
      </c>
    </row>
    <row r="40" spans="2:6" ht="24.95" customHeight="1" x14ac:dyDescent="0.15">
      <c r="B40" s="5" t="s">
        <v>30</v>
      </c>
      <c r="C40" s="12">
        <v>0</v>
      </c>
    </row>
    <row r="41" spans="2:6" ht="24.95" customHeight="1" x14ac:dyDescent="0.15">
      <c r="B41" s="5" t="s">
        <v>30</v>
      </c>
      <c r="C41" s="12">
        <v>0</v>
      </c>
    </row>
    <row r="42" spans="2:6" ht="24.95" customHeight="1" x14ac:dyDescent="0.15">
      <c r="B42" s="5" t="s">
        <v>30</v>
      </c>
      <c r="C42" s="12">
        <v>0</v>
      </c>
    </row>
  </sheetData>
  <printOptions horizontalCentered="1"/>
  <pageMargins left="0.35" right="0.41" top="0.41" bottom="0.35" header="0.3" footer="0.3"/>
  <pageSetup paperSize="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909DF811-6890-4F41-99C3-D43F935129FF}">
            <xm:f>'Dados do gráfico'!$B$6</xm:f>
            <x14:dxf>
              <font>
                <color theme="5" tint="-0.24991607409894101"/>
              </font>
            </x14:dxf>
          </x14:cfRule>
          <xm:sqref>C10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EA5ED-03DC-C240-AD68-8B696FBDE61B}">
  <sheetPr>
    <tabColor theme="4"/>
    <pageSetUpPr fitToPage="1"/>
  </sheetPr>
  <dimension ref="B1:F42"/>
  <sheetViews>
    <sheetView showGridLines="0" topLeftCell="B1" zoomScale="125" zoomScaleNormal="125" workbookViewId="0">
      <selection activeCell="F23" sqref="F23"/>
    </sheetView>
  </sheetViews>
  <sheetFormatPr defaultColWidth="8.875" defaultRowHeight="28.5" customHeight="1" x14ac:dyDescent="0.15"/>
  <cols>
    <col min="1" max="1" width="3.2578125" customWidth="1"/>
    <col min="2" max="2" width="40.23046875" customWidth="1"/>
    <col min="3" max="3" width="20.33984375" customWidth="1"/>
    <col min="4" max="4" width="8.98828125" customWidth="1"/>
    <col min="5" max="5" width="11.125" bestFit="1" customWidth="1"/>
    <col min="6" max="6" width="10.3359375" customWidth="1"/>
  </cols>
  <sheetData>
    <row r="1" spans="2:3" ht="35.25" customHeight="1" x14ac:dyDescent="0.4">
      <c r="B1" s="9" t="s">
        <v>0</v>
      </c>
      <c r="C1" s="1"/>
    </row>
    <row r="2" spans="2:3" ht="37.5" customHeight="1" x14ac:dyDescent="0.25">
      <c r="B2" s="1" t="s">
        <v>1</v>
      </c>
      <c r="C2" s="1" t="s">
        <v>2</v>
      </c>
    </row>
    <row r="3" spans="2:3" ht="30" customHeight="1" x14ac:dyDescent="0.15">
      <c r="B3" s="2"/>
      <c r="C3" t="s">
        <v>3</v>
      </c>
    </row>
    <row r="4" spans="2:3" ht="20.45" customHeight="1" x14ac:dyDescent="0.15">
      <c r="C4" s="11">
        <f>SUM(Renda710131619222528[Valor])</f>
        <v>10790</v>
      </c>
    </row>
    <row r="5" spans="2:3" ht="20.45" customHeight="1" x14ac:dyDescent="0.15">
      <c r="C5" t="s">
        <v>4</v>
      </c>
    </row>
    <row r="6" spans="2:3" ht="20.45" customHeight="1" x14ac:dyDescent="0.15">
      <c r="C6" s="11">
        <f>SUM(Despesas69121518212427[Valor])</f>
        <v>11021.259999999995</v>
      </c>
    </row>
    <row r="7" spans="2:3" ht="20.45" customHeight="1" x14ac:dyDescent="0.15">
      <c r="C7" t="s">
        <v>5</v>
      </c>
    </row>
    <row r="8" spans="2:3" ht="20.45" customHeight="1" x14ac:dyDescent="0.15">
      <c r="C8" s="11">
        <f>SUM(Economias58111417202326[Valor])</f>
        <v>0</v>
      </c>
    </row>
    <row r="9" spans="2:3" ht="20.45" customHeight="1" x14ac:dyDescent="0.15">
      <c r="C9" t="s">
        <v>6</v>
      </c>
    </row>
    <row r="10" spans="2:3" ht="20.45" customHeight="1" x14ac:dyDescent="0.15">
      <c r="C10" s="11">
        <f>Renda_mensal_total-Total_mensal_de_despesas-Economia_mensal_total</f>
        <v>-231.25999999999476</v>
      </c>
    </row>
    <row r="11" spans="2:3" ht="22.5" customHeight="1" x14ac:dyDescent="0.15">
      <c r="B11" s="3">
        <f>MIN(Total_mensal_de_despesas/Renda_mensal_total,1)</f>
        <v>1</v>
      </c>
    </row>
    <row r="12" spans="2:3" ht="37.5" customHeight="1" x14ac:dyDescent="0.25">
      <c r="B12" s="1" t="s">
        <v>7</v>
      </c>
    </row>
    <row r="13" spans="2:3" ht="24.95" customHeight="1" x14ac:dyDescent="0.15">
      <c r="B13" s="7" t="s">
        <v>8</v>
      </c>
      <c r="C13" s="7" t="s">
        <v>9</v>
      </c>
    </row>
    <row r="14" spans="2:3" ht="24.95" customHeight="1" x14ac:dyDescent="0.15">
      <c r="B14" t="s">
        <v>10</v>
      </c>
      <c r="C14" s="12">
        <v>10790</v>
      </c>
    </row>
    <row r="15" spans="2:3" ht="24.95" customHeight="1" x14ac:dyDescent="0.15">
      <c r="B15" t="s">
        <v>11</v>
      </c>
      <c r="C15" s="12"/>
    </row>
    <row r="16" spans="2:3" ht="24.95" customHeight="1" x14ac:dyDescent="0.15">
      <c r="B16" t="s">
        <v>12</v>
      </c>
      <c r="C16" s="12"/>
    </row>
    <row r="17" spans="2:6" ht="24.95" customHeight="1" x14ac:dyDescent="0.15">
      <c r="C17" s="4"/>
    </row>
    <row r="18" spans="2:6" ht="24.95" customHeight="1" x14ac:dyDescent="0.25">
      <c r="B18" s="1" t="s">
        <v>13</v>
      </c>
    </row>
    <row r="19" spans="2:6" ht="24.95" customHeight="1" x14ac:dyDescent="0.15">
      <c r="B19" s="8" t="s">
        <v>8</v>
      </c>
      <c r="C19" s="8" t="s">
        <v>9</v>
      </c>
    </row>
    <row r="20" spans="2:6" ht="24.95" customHeight="1" x14ac:dyDescent="0.15">
      <c r="B20" s="15" t="s">
        <v>14</v>
      </c>
      <c r="C20" s="16">
        <v>1356.26</v>
      </c>
      <c r="E20" s="18"/>
    </row>
    <row r="21" spans="2:6" ht="24.95" customHeight="1" x14ac:dyDescent="0.15">
      <c r="B21" s="15" t="s">
        <v>15</v>
      </c>
      <c r="C21" s="16">
        <v>242</v>
      </c>
      <c r="E21" s="19"/>
      <c r="F21" s="20">
        <v>4662</v>
      </c>
    </row>
    <row r="22" spans="2:6" ht="24.95" customHeight="1" x14ac:dyDescent="0.15">
      <c r="B22" s="15" t="s">
        <v>16</v>
      </c>
      <c r="C22" s="16">
        <v>160.46</v>
      </c>
      <c r="F22" s="20">
        <v>1642</v>
      </c>
    </row>
    <row r="23" spans="2:6" ht="24.95" customHeight="1" x14ac:dyDescent="0.15">
      <c r="B23" s="15" t="s">
        <v>39</v>
      </c>
      <c r="C23" s="16">
        <v>30</v>
      </c>
      <c r="F23" s="20">
        <v>0</v>
      </c>
    </row>
    <row r="24" spans="2:6" ht="24.95" customHeight="1" x14ac:dyDescent="0.15">
      <c r="B24" s="15" t="s">
        <v>23</v>
      </c>
      <c r="C24" s="16">
        <v>93.26</v>
      </c>
      <c r="F24" s="20">
        <v>0</v>
      </c>
    </row>
    <row r="25" spans="2:6" ht="24.95" customHeight="1" x14ac:dyDescent="0.15">
      <c r="B25" s="15" t="s">
        <v>19</v>
      </c>
      <c r="C25" s="16">
        <v>689.3</v>
      </c>
      <c r="F25" s="20">
        <v>0</v>
      </c>
    </row>
    <row r="26" spans="2:6" ht="24.95" customHeight="1" x14ac:dyDescent="0.15">
      <c r="B26" s="15" t="s">
        <v>37</v>
      </c>
      <c r="C26" s="16">
        <v>4662</v>
      </c>
      <c r="F26" s="20">
        <v>0</v>
      </c>
    </row>
    <row r="27" spans="2:6" ht="24.95" customHeight="1" x14ac:dyDescent="0.15">
      <c r="B27" s="15" t="s">
        <v>21</v>
      </c>
      <c r="C27" s="16">
        <v>1000</v>
      </c>
      <c r="F27" s="20">
        <v>0</v>
      </c>
    </row>
    <row r="28" spans="2:6" ht="24.95" customHeight="1" x14ac:dyDescent="0.15">
      <c r="B28" s="15" t="s">
        <v>22</v>
      </c>
      <c r="C28" s="16">
        <v>190</v>
      </c>
      <c r="F28" s="20">
        <v>0</v>
      </c>
    </row>
    <row r="29" spans="2:6" ht="24.95" customHeight="1" x14ac:dyDescent="0.15">
      <c r="B29" s="15" t="s">
        <v>31</v>
      </c>
      <c r="C29" s="23">
        <v>186.13</v>
      </c>
      <c r="F29" s="20">
        <v>0</v>
      </c>
    </row>
    <row r="30" spans="2:6" ht="24.95" customHeight="1" x14ac:dyDescent="0.15">
      <c r="B30" s="15" t="s">
        <v>24</v>
      </c>
      <c r="C30" s="16">
        <v>146.97999999999999</v>
      </c>
      <c r="F30" s="20">
        <v>0</v>
      </c>
    </row>
    <row r="31" spans="2:6" ht="24.95" customHeight="1" x14ac:dyDescent="0.15">
      <c r="B31" s="15" t="s">
        <v>32</v>
      </c>
      <c r="C31" s="16">
        <v>90</v>
      </c>
      <c r="F31" s="20">
        <v>0</v>
      </c>
    </row>
    <row r="32" spans="2:6" ht="24.95" customHeight="1" x14ac:dyDescent="0.15">
      <c r="B32" s="15" t="s">
        <v>33</v>
      </c>
      <c r="C32" s="17">
        <v>80.959999999999994</v>
      </c>
      <c r="F32" s="12">
        <v>0</v>
      </c>
    </row>
    <row r="33" spans="2:6" ht="24.95" customHeight="1" x14ac:dyDescent="0.15">
      <c r="B33" s="15" t="s">
        <v>34</v>
      </c>
      <c r="C33" s="17">
        <v>71.09</v>
      </c>
      <c r="F33" s="12">
        <v>0</v>
      </c>
    </row>
    <row r="34" spans="2:6" ht="24.95" customHeight="1" x14ac:dyDescent="0.15">
      <c r="B34" t="s">
        <v>35</v>
      </c>
      <c r="C34" s="16">
        <v>1642.14</v>
      </c>
      <c r="F34" s="18">
        <f>SUM(F21:F33)</f>
        <v>6304</v>
      </c>
    </row>
    <row r="35" spans="2:6" ht="24.95" customHeight="1" x14ac:dyDescent="0.15">
      <c r="B35" t="s">
        <v>38</v>
      </c>
      <c r="C35" s="17">
        <v>0</v>
      </c>
    </row>
    <row r="36" spans="2:6" ht="24.95" customHeight="1" x14ac:dyDescent="0.15">
      <c r="B36" t="s">
        <v>36</v>
      </c>
      <c r="C36" s="16">
        <v>263.3</v>
      </c>
    </row>
    <row r="37" spans="2:6" ht="24.95" customHeight="1" x14ac:dyDescent="0.15">
      <c r="B37" t="s">
        <v>40</v>
      </c>
      <c r="C37" s="16">
        <v>117.38</v>
      </c>
    </row>
    <row r="38" spans="2:6" ht="24.95" customHeight="1" x14ac:dyDescent="0.25">
      <c r="B38" s="1" t="s">
        <v>28</v>
      </c>
      <c r="C38" s="6"/>
    </row>
    <row r="39" spans="2:6" ht="24.95" customHeight="1" x14ac:dyDescent="0.15">
      <c r="B39" s="13" t="s">
        <v>29</v>
      </c>
      <c r="C39" s="8" t="s">
        <v>9</v>
      </c>
    </row>
    <row r="40" spans="2:6" ht="24.95" customHeight="1" x14ac:dyDescent="0.15">
      <c r="B40" s="5" t="s">
        <v>30</v>
      </c>
      <c r="C40" s="12">
        <v>0</v>
      </c>
    </row>
    <row r="41" spans="2:6" ht="24.95" customHeight="1" x14ac:dyDescent="0.15">
      <c r="B41" s="5" t="s">
        <v>30</v>
      </c>
      <c r="C41" s="12">
        <v>0</v>
      </c>
    </row>
    <row r="42" spans="2:6" ht="24.95" customHeight="1" x14ac:dyDescent="0.15">
      <c r="B42" s="5" t="s">
        <v>30</v>
      </c>
      <c r="C42" s="12">
        <v>0</v>
      </c>
    </row>
  </sheetData>
  <printOptions horizontalCentered="1"/>
  <pageMargins left="0.35" right="0.41" top="0.41" bottom="0.35" header="0.3" footer="0.3"/>
  <pageSetup paperSize="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D1206524-94D5-BB47-AC90-49F383E29111}">
            <xm:f>'Dados do gráfico'!$B$6</xm:f>
            <x14:dxf>
              <font>
                <color theme="5" tint="-0.24991607409894101"/>
              </font>
            </x14:dxf>
          </x14:cfRule>
          <xm:sqref>C10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4F34-0B2D-594E-B97B-D81324E91C78}">
  <sheetPr>
    <tabColor theme="4"/>
    <pageSetUpPr fitToPage="1"/>
  </sheetPr>
  <dimension ref="B1:F42"/>
  <sheetViews>
    <sheetView showGridLines="0" topLeftCell="B1" zoomScale="125" zoomScaleNormal="125" workbookViewId="0">
      <selection activeCell="F32" sqref="F32"/>
    </sheetView>
  </sheetViews>
  <sheetFormatPr defaultColWidth="8.875" defaultRowHeight="28.5" customHeight="1" x14ac:dyDescent="0.15"/>
  <cols>
    <col min="1" max="1" width="3.2578125" customWidth="1"/>
    <col min="2" max="2" width="40.23046875" customWidth="1"/>
    <col min="3" max="3" width="20.33984375" customWidth="1"/>
    <col min="4" max="4" width="8.98828125" customWidth="1"/>
    <col min="5" max="5" width="11.125" bestFit="1" customWidth="1"/>
    <col min="6" max="6" width="10.3359375" customWidth="1"/>
  </cols>
  <sheetData>
    <row r="1" spans="2:3" ht="35.25" customHeight="1" x14ac:dyDescent="0.4">
      <c r="B1" s="9" t="s">
        <v>0</v>
      </c>
      <c r="C1" s="1"/>
    </row>
    <row r="2" spans="2:3" ht="37.5" customHeight="1" x14ac:dyDescent="0.25">
      <c r="B2" s="1" t="s">
        <v>1</v>
      </c>
      <c r="C2" s="1" t="s">
        <v>2</v>
      </c>
    </row>
    <row r="3" spans="2:3" ht="30" customHeight="1" x14ac:dyDescent="0.15">
      <c r="B3" s="2"/>
      <c r="C3" t="s">
        <v>3</v>
      </c>
    </row>
    <row r="4" spans="2:3" ht="20.45" customHeight="1" x14ac:dyDescent="0.15">
      <c r="C4" s="11">
        <f>SUM(Renda71013161922252831[Valor])</f>
        <v>10790</v>
      </c>
    </row>
    <row r="5" spans="2:3" ht="20.45" customHeight="1" x14ac:dyDescent="0.15">
      <c r="C5" t="s">
        <v>4</v>
      </c>
    </row>
    <row r="6" spans="2:3" ht="20.45" customHeight="1" x14ac:dyDescent="0.15">
      <c r="C6" s="11">
        <f>SUM(Despesas6912151821242730[Valor])</f>
        <v>13316.169999999998</v>
      </c>
    </row>
    <row r="7" spans="2:3" ht="20.45" customHeight="1" x14ac:dyDescent="0.15">
      <c r="C7" t="s">
        <v>5</v>
      </c>
    </row>
    <row r="8" spans="2:3" ht="20.45" customHeight="1" x14ac:dyDescent="0.15">
      <c r="C8" s="11">
        <f>SUM(Economias5811141720232629[Valor])</f>
        <v>0</v>
      </c>
    </row>
    <row r="9" spans="2:3" ht="20.45" customHeight="1" x14ac:dyDescent="0.15">
      <c r="C9" t="s">
        <v>6</v>
      </c>
    </row>
    <row r="10" spans="2:3" ht="20.45" customHeight="1" x14ac:dyDescent="0.15">
      <c r="C10" s="11">
        <f>Renda_mensal_total-Total_mensal_de_despesas-Economia_mensal_total</f>
        <v>-2526.1699999999983</v>
      </c>
    </row>
    <row r="11" spans="2:3" ht="22.5" customHeight="1" x14ac:dyDescent="0.15">
      <c r="B11" s="3">
        <f>MIN(Total_mensal_de_despesas/Renda_mensal_total,1)</f>
        <v>1</v>
      </c>
    </row>
    <row r="12" spans="2:3" ht="37.5" customHeight="1" x14ac:dyDescent="0.25">
      <c r="B12" s="1" t="s">
        <v>7</v>
      </c>
    </row>
    <row r="13" spans="2:3" ht="24.95" customHeight="1" x14ac:dyDescent="0.15">
      <c r="B13" s="7" t="s">
        <v>8</v>
      </c>
      <c r="C13" s="7" t="s">
        <v>9</v>
      </c>
    </row>
    <row r="14" spans="2:3" ht="24.95" customHeight="1" x14ac:dyDescent="0.15">
      <c r="B14" t="s">
        <v>10</v>
      </c>
      <c r="C14" s="12">
        <v>10790</v>
      </c>
    </row>
    <row r="15" spans="2:3" ht="24.95" customHeight="1" x14ac:dyDescent="0.15">
      <c r="B15" t="s">
        <v>11</v>
      </c>
      <c r="C15" s="12"/>
    </row>
    <row r="16" spans="2:3" ht="24.95" customHeight="1" x14ac:dyDescent="0.15">
      <c r="B16" t="s">
        <v>12</v>
      </c>
      <c r="C16" s="12"/>
    </row>
    <row r="17" spans="2:6" ht="24.95" customHeight="1" x14ac:dyDescent="0.15">
      <c r="C17" s="4"/>
    </row>
    <row r="18" spans="2:6" ht="24.95" customHeight="1" x14ac:dyDescent="0.25">
      <c r="B18" s="1" t="s">
        <v>13</v>
      </c>
    </row>
    <row r="19" spans="2:6" ht="24.95" customHeight="1" x14ac:dyDescent="0.15">
      <c r="B19" s="8" t="s">
        <v>8</v>
      </c>
      <c r="C19" s="8" t="s">
        <v>9</v>
      </c>
    </row>
    <row r="20" spans="2:6" ht="24.95" customHeight="1" x14ac:dyDescent="0.15">
      <c r="B20" s="15" t="s">
        <v>14</v>
      </c>
      <c r="C20" s="16">
        <v>1458.9</v>
      </c>
      <c r="E20" s="18"/>
    </row>
    <row r="21" spans="2:6" ht="24.95" customHeight="1" x14ac:dyDescent="0.15">
      <c r="B21" s="15" t="s">
        <v>15</v>
      </c>
      <c r="C21" s="16">
        <v>226.75</v>
      </c>
      <c r="E21" s="19"/>
      <c r="F21" s="20">
        <v>0</v>
      </c>
    </row>
    <row r="22" spans="2:6" ht="24.95" customHeight="1" x14ac:dyDescent="0.15">
      <c r="B22" s="15" t="s">
        <v>16</v>
      </c>
      <c r="C22" s="16">
        <v>160.46</v>
      </c>
      <c r="F22" s="20">
        <v>0</v>
      </c>
    </row>
    <row r="23" spans="2:6" ht="24.95" customHeight="1" x14ac:dyDescent="0.15">
      <c r="B23" s="15" t="s">
        <v>39</v>
      </c>
      <c r="C23" s="16">
        <v>30</v>
      </c>
      <c r="F23" s="20">
        <v>0</v>
      </c>
    </row>
    <row r="24" spans="2:6" ht="24.95" customHeight="1" x14ac:dyDescent="0.15">
      <c r="B24" s="15" t="s">
        <v>23</v>
      </c>
      <c r="C24" s="16">
        <v>93.26</v>
      </c>
      <c r="F24" s="20">
        <v>0</v>
      </c>
    </row>
    <row r="25" spans="2:6" ht="24.95" customHeight="1" x14ac:dyDescent="0.15">
      <c r="B25" s="15" t="s">
        <v>19</v>
      </c>
      <c r="C25" s="16">
        <v>689.3</v>
      </c>
      <c r="F25" s="20">
        <v>0</v>
      </c>
    </row>
    <row r="26" spans="2:6" ht="24.95" customHeight="1" x14ac:dyDescent="0.15">
      <c r="B26" s="15" t="s">
        <v>37</v>
      </c>
      <c r="C26" s="16">
        <v>4984</v>
      </c>
      <c r="F26" s="20">
        <v>0</v>
      </c>
    </row>
    <row r="27" spans="2:6" ht="24.95" customHeight="1" x14ac:dyDescent="0.15">
      <c r="B27" s="15" t="s">
        <v>21</v>
      </c>
      <c r="C27" s="16">
        <v>1000</v>
      </c>
      <c r="F27" s="20">
        <v>0</v>
      </c>
    </row>
    <row r="28" spans="2:6" ht="24.95" customHeight="1" x14ac:dyDescent="0.15">
      <c r="B28" s="15" t="s">
        <v>22</v>
      </c>
      <c r="C28" s="16">
        <v>358</v>
      </c>
      <c r="F28" s="20">
        <v>0</v>
      </c>
    </row>
    <row r="29" spans="2:6" ht="24.95" customHeight="1" x14ac:dyDescent="0.15">
      <c r="B29" s="15" t="s">
        <v>31</v>
      </c>
      <c r="C29" s="23">
        <v>473.16</v>
      </c>
      <c r="F29" s="20">
        <v>0</v>
      </c>
    </row>
    <row r="30" spans="2:6" ht="24.95" customHeight="1" x14ac:dyDescent="0.15">
      <c r="B30" s="15" t="s">
        <v>24</v>
      </c>
      <c r="C30" s="16">
        <v>146.97999999999999</v>
      </c>
      <c r="F30" s="20">
        <v>0</v>
      </c>
    </row>
    <row r="31" spans="2:6" ht="24.95" customHeight="1" x14ac:dyDescent="0.15">
      <c r="B31" s="15" t="s">
        <v>32</v>
      </c>
      <c r="C31" s="16">
        <v>90</v>
      </c>
      <c r="F31" s="20">
        <v>0</v>
      </c>
    </row>
    <row r="32" spans="2:6" ht="24.95" customHeight="1" x14ac:dyDescent="0.15">
      <c r="B32" s="15" t="s">
        <v>33</v>
      </c>
      <c r="C32" s="16">
        <v>413.33</v>
      </c>
      <c r="F32" s="12">
        <v>0</v>
      </c>
    </row>
    <row r="33" spans="2:6" ht="24.95" customHeight="1" x14ac:dyDescent="0.15">
      <c r="B33" s="15" t="s">
        <v>34</v>
      </c>
      <c r="C33" s="24">
        <v>0</v>
      </c>
      <c r="F33" s="12">
        <v>0</v>
      </c>
    </row>
    <row r="34" spans="2:6" ht="24.95" customHeight="1" x14ac:dyDescent="0.15">
      <c r="B34" t="s">
        <v>35</v>
      </c>
      <c r="C34" s="16">
        <v>2498.12</v>
      </c>
      <c r="F34" s="18">
        <f>SUM(F21:F33)</f>
        <v>0</v>
      </c>
    </row>
    <row r="35" spans="2:6" ht="24.95" customHeight="1" x14ac:dyDescent="0.15">
      <c r="B35" t="s">
        <v>38</v>
      </c>
      <c r="C35" s="16">
        <v>127.4</v>
      </c>
    </row>
    <row r="36" spans="2:6" ht="24.95" customHeight="1" x14ac:dyDescent="0.15">
      <c r="B36" t="s">
        <v>36</v>
      </c>
      <c r="C36" s="16">
        <v>448.51</v>
      </c>
    </row>
    <row r="37" spans="2:6" ht="24.95" customHeight="1" x14ac:dyDescent="0.15">
      <c r="B37" t="s">
        <v>40</v>
      </c>
      <c r="C37" s="16">
        <v>118</v>
      </c>
    </row>
    <row r="38" spans="2:6" ht="24.95" customHeight="1" x14ac:dyDescent="0.25">
      <c r="B38" s="1" t="s">
        <v>28</v>
      </c>
      <c r="C38" s="6"/>
    </row>
    <row r="39" spans="2:6" ht="24.95" customHeight="1" x14ac:dyDescent="0.15">
      <c r="B39" s="13" t="s">
        <v>29</v>
      </c>
      <c r="C39" s="8" t="s">
        <v>9</v>
      </c>
    </row>
    <row r="40" spans="2:6" ht="24.95" customHeight="1" x14ac:dyDescent="0.15">
      <c r="B40" s="5" t="s">
        <v>30</v>
      </c>
      <c r="C40" s="12">
        <v>0</v>
      </c>
    </row>
    <row r="41" spans="2:6" ht="24.95" customHeight="1" x14ac:dyDescent="0.15">
      <c r="B41" s="5" t="s">
        <v>30</v>
      </c>
      <c r="C41" s="12">
        <v>0</v>
      </c>
    </row>
    <row r="42" spans="2:6" ht="24.95" customHeight="1" x14ac:dyDescent="0.15">
      <c r="B42" s="5" t="s">
        <v>30</v>
      </c>
      <c r="C42" s="12">
        <v>0</v>
      </c>
    </row>
  </sheetData>
  <printOptions horizontalCentered="1"/>
  <pageMargins left="0.35" right="0.41" top="0.41" bottom="0.35" header="0.3" footer="0.3"/>
  <pageSetup paperSize="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BCDC054-842A-1445-A964-CA5ED524CC86}">
            <xm:f>'Dados do gráfico'!$B$6</xm:f>
            <x14:dxf>
              <font>
                <color theme="5" tint="-0.24991607409894101"/>
              </font>
            </x14:dxf>
          </x14:cfRule>
          <xm:sqref>C10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F8C8-8C09-BE42-8729-E52ADD4E3686}">
  <sheetPr>
    <tabColor theme="4"/>
    <pageSetUpPr fitToPage="1"/>
  </sheetPr>
  <dimension ref="B1:F42"/>
  <sheetViews>
    <sheetView showGridLines="0" topLeftCell="B44" zoomScale="125" zoomScaleNormal="125" workbookViewId="0">
      <selection activeCell="C33" sqref="C33"/>
    </sheetView>
  </sheetViews>
  <sheetFormatPr defaultColWidth="8.875" defaultRowHeight="28.5" customHeight="1" x14ac:dyDescent="0.15"/>
  <cols>
    <col min="1" max="1" width="3.2578125" customWidth="1"/>
    <col min="2" max="2" width="40.23046875" customWidth="1"/>
    <col min="3" max="3" width="20.33984375" customWidth="1"/>
    <col min="4" max="4" width="8.98828125" customWidth="1"/>
    <col min="5" max="5" width="11.125" bestFit="1" customWidth="1"/>
    <col min="6" max="6" width="13.37109375" customWidth="1"/>
  </cols>
  <sheetData>
    <row r="1" spans="2:3" ht="35.25" customHeight="1" x14ac:dyDescent="0.4">
      <c r="B1" s="9" t="s">
        <v>0</v>
      </c>
      <c r="C1" s="1"/>
    </row>
    <row r="2" spans="2:3" ht="37.5" customHeight="1" x14ac:dyDescent="0.25">
      <c r="B2" s="1" t="s">
        <v>1</v>
      </c>
      <c r="C2" s="1" t="s">
        <v>2</v>
      </c>
    </row>
    <row r="3" spans="2:3" ht="30" customHeight="1" x14ac:dyDescent="0.15">
      <c r="B3" s="2"/>
      <c r="C3" t="s">
        <v>3</v>
      </c>
    </row>
    <row r="4" spans="2:3" ht="20.45" customHeight="1" x14ac:dyDescent="0.15">
      <c r="C4" s="11">
        <f>SUM(Renda7101316192225283134[Valor])</f>
        <v>17290</v>
      </c>
    </row>
    <row r="5" spans="2:3" ht="20.45" customHeight="1" x14ac:dyDescent="0.15">
      <c r="C5" t="s">
        <v>4</v>
      </c>
    </row>
    <row r="6" spans="2:3" ht="20.45" customHeight="1" x14ac:dyDescent="0.15">
      <c r="C6" s="11">
        <f>SUM(Despesas691215182124273033[Valor])</f>
        <v>15586.960000000001</v>
      </c>
    </row>
    <row r="7" spans="2:3" ht="20.45" customHeight="1" x14ac:dyDescent="0.15">
      <c r="C7" t="s">
        <v>5</v>
      </c>
    </row>
    <row r="8" spans="2:3" ht="20.45" customHeight="1" x14ac:dyDescent="0.15">
      <c r="C8" s="11">
        <f>SUM(Economias581114172023262932[Valor])</f>
        <v>0</v>
      </c>
    </row>
    <row r="9" spans="2:3" ht="20.45" customHeight="1" x14ac:dyDescent="0.15">
      <c r="C9" t="s">
        <v>6</v>
      </c>
    </row>
    <row r="10" spans="2:3" ht="20.45" customHeight="1" x14ac:dyDescent="0.15">
      <c r="C10" s="11">
        <f>Renda_mensal_total-Total_mensal_de_despesas-Economia_mensal_total</f>
        <v>1703.0399999999991</v>
      </c>
    </row>
    <row r="11" spans="2:3" ht="22.5" customHeight="1" x14ac:dyDescent="0.15">
      <c r="B11" s="3">
        <f>MIN(Total_mensal_de_despesas/Renda_mensal_total,1)</f>
        <v>0.90150144592249859</v>
      </c>
    </row>
    <row r="12" spans="2:3" ht="37.5" customHeight="1" x14ac:dyDescent="0.25">
      <c r="B12" s="1" t="s">
        <v>7</v>
      </c>
    </row>
    <row r="13" spans="2:3" ht="24.95" customHeight="1" x14ac:dyDescent="0.15">
      <c r="B13" s="7" t="s">
        <v>8</v>
      </c>
      <c r="C13" s="7" t="s">
        <v>9</v>
      </c>
    </row>
    <row r="14" spans="2:3" ht="24.95" customHeight="1" x14ac:dyDescent="0.15">
      <c r="B14" t="s">
        <v>10</v>
      </c>
      <c r="C14" s="12">
        <v>17290</v>
      </c>
    </row>
    <row r="15" spans="2:3" ht="24.95" customHeight="1" x14ac:dyDescent="0.15">
      <c r="B15" t="s">
        <v>11</v>
      </c>
      <c r="C15" s="12"/>
    </row>
    <row r="16" spans="2:3" ht="24.95" customHeight="1" x14ac:dyDescent="0.15">
      <c r="B16" t="s">
        <v>12</v>
      </c>
      <c r="C16" s="12"/>
    </row>
    <row r="17" spans="2:6" ht="24.95" customHeight="1" x14ac:dyDescent="0.15">
      <c r="C17" s="4"/>
    </row>
    <row r="18" spans="2:6" ht="24.95" customHeight="1" x14ac:dyDescent="0.25">
      <c r="B18" s="1" t="s">
        <v>13</v>
      </c>
    </row>
    <row r="19" spans="2:6" ht="24.95" customHeight="1" x14ac:dyDescent="0.15">
      <c r="B19" s="8" t="s">
        <v>8</v>
      </c>
      <c r="C19" s="8" t="s">
        <v>9</v>
      </c>
    </row>
    <row r="20" spans="2:6" ht="24.95" customHeight="1" x14ac:dyDescent="0.15">
      <c r="B20" s="15" t="s">
        <v>14</v>
      </c>
      <c r="C20" s="16">
        <v>1458.9</v>
      </c>
      <c r="E20" s="18"/>
    </row>
    <row r="21" spans="2:6" ht="24.95" customHeight="1" x14ac:dyDescent="0.15">
      <c r="B21" s="15" t="s">
        <v>15</v>
      </c>
      <c r="C21" s="16">
        <v>240.98</v>
      </c>
      <c r="E21" s="19"/>
      <c r="F21" s="20">
        <v>0</v>
      </c>
    </row>
    <row r="22" spans="2:6" ht="24.95" customHeight="1" x14ac:dyDescent="0.15">
      <c r="B22" s="15" t="s">
        <v>16</v>
      </c>
      <c r="C22" s="16">
        <v>160.46</v>
      </c>
      <c r="F22" s="20">
        <v>0</v>
      </c>
    </row>
    <row r="23" spans="2:6" ht="24.95" customHeight="1" x14ac:dyDescent="0.15">
      <c r="B23" s="15" t="s">
        <v>39</v>
      </c>
      <c r="C23" s="16">
        <v>30</v>
      </c>
      <c r="F23" s="20">
        <v>0</v>
      </c>
    </row>
    <row r="24" spans="2:6" ht="24.95" customHeight="1" x14ac:dyDescent="0.15">
      <c r="B24" s="15" t="s">
        <v>23</v>
      </c>
      <c r="C24" s="16">
        <v>49.96</v>
      </c>
      <c r="F24" s="20">
        <v>0</v>
      </c>
    </row>
    <row r="25" spans="2:6" ht="24.95" customHeight="1" x14ac:dyDescent="0.15">
      <c r="B25" s="15" t="s">
        <v>19</v>
      </c>
      <c r="C25" s="16">
        <v>689.3</v>
      </c>
      <c r="F25" s="20">
        <v>0</v>
      </c>
    </row>
    <row r="26" spans="2:6" ht="24.95" customHeight="1" x14ac:dyDescent="0.15">
      <c r="B26" s="15" t="s">
        <v>37</v>
      </c>
      <c r="C26" s="16">
        <v>7127.51</v>
      </c>
      <c r="F26" s="20">
        <v>0</v>
      </c>
    </row>
    <row r="27" spans="2:6" ht="24.95" customHeight="1" x14ac:dyDescent="0.15">
      <c r="B27" s="15" t="s">
        <v>21</v>
      </c>
      <c r="C27" s="16">
        <v>1000</v>
      </c>
      <c r="F27" s="20">
        <v>0</v>
      </c>
    </row>
    <row r="28" spans="2:6" ht="24.95" customHeight="1" x14ac:dyDescent="0.15">
      <c r="B28" s="15" t="s">
        <v>22</v>
      </c>
      <c r="C28" s="16">
        <v>279.70999999999998</v>
      </c>
      <c r="F28" s="20">
        <v>0</v>
      </c>
    </row>
    <row r="29" spans="2:6" ht="24.95" customHeight="1" x14ac:dyDescent="0.15">
      <c r="B29" s="15" t="s">
        <v>31</v>
      </c>
      <c r="C29" s="23">
        <v>413.19</v>
      </c>
      <c r="F29" s="20">
        <v>0</v>
      </c>
    </row>
    <row r="30" spans="2:6" ht="24.95" customHeight="1" x14ac:dyDescent="0.15">
      <c r="B30" s="15" t="s">
        <v>24</v>
      </c>
      <c r="C30" s="16">
        <v>146.97999999999999</v>
      </c>
      <c r="F30" s="20">
        <v>0</v>
      </c>
    </row>
    <row r="31" spans="2:6" ht="24.95" customHeight="1" x14ac:dyDescent="0.15">
      <c r="B31" s="15" t="s">
        <v>32</v>
      </c>
      <c r="C31" s="16">
        <v>90</v>
      </c>
      <c r="F31" s="20">
        <v>0</v>
      </c>
    </row>
    <row r="32" spans="2:6" ht="24.95" customHeight="1" x14ac:dyDescent="0.15">
      <c r="B32" s="15" t="s">
        <v>33</v>
      </c>
      <c r="C32" s="16">
        <v>413.33</v>
      </c>
      <c r="F32" s="12">
        <v>0</v>
      </c>
    </row>
    <row r="33" spans="2:6" ht="24.95" customHeight="1" x14ac:dyDescent="0.15">
      <c r="B33" s="15" t="s">
        <v>42</v>
      </c>
      <c r="C33" s="16">
        <v>1806.76</v>
      </c>
      <c r="F33" s="12">
        <v>0</v>
      </c>
    </row>
    <row r="34" spans="2:6" ht="24.95" customHeight="1" x14ac:dyDescent="0.15">
      <c r="B34" t="s">
        <v>35</v>
      </c>
      <c r="C34" s="16">
        <v>953.53</v>
      </c>
      <c r="F34" s="18">
        <f>SUM(F21:F33)</f>
        <v>0</v>
      </c>
    </row>
    <row r="35" spans="2:6" ht="24.95" customHeight="1" x14ac:dyDescent="0.15">
      <c r="B35" t="s">
        <v>38</v>
      </c>
      <c r="C35" s="16">
        <v>127.4</v>
      </c>
    </row>
    <row r="36" spans="2:6" ht="24.95" customHeight="1" x14ac:dyDescent="0.15">
      <c r="B36" t="s">
        <v>36</v>
      </c>
      <c r="C36" s="16">
        <v>400</v>
      </c>
    </row>
    <row r="37" spans="2:6" ht="24.95" customHeight="1" x14ac:dyDescent="0.15">
      <c r="B37" t="s">
        <v>43</v>
      </c>
      <c r="C37" s="16">
        <v>198.95</v>
      </c>
    </row>
    <row r="38" spans="2:6" ht="24.95" customHeight="1" x14ac:dyDescent="0.25">
      <c r="B38" s="1" t="s">
        <v>28</v>
      </c>
      <c r="C38" s="6"/>
    </row>
    <row r="39" spans="2:6" ht="24.95" customHeight="1" x14ac:dyDescent="0.15">
      <c r="B39" s="13" t="s">
        <v>29</v>
      </c>
      <c r="C39" s="8" t="s">
        <v>9</v>
      </c>
    </row>
    <row r="40" spans="2:6" ht="24.95" customHeight="1" x14ac:dyDescent="0.15">
      <c r="B40" s="5" t="s">
        <v>30</v>
      </c>
      <c r="C40" s="12">
        <v>0</v>
      </c>
    </row>
    <row r="41" spans="2:6" ht="24.95" customHeight="1" x14ac:dyDescent="0.15">
      <c r="B41" s="5" t="s">
        <v>30</v>
      </c>
      <c r="C41" s="12">
        <v>0</v>
      </c>
    </row>
    <row r="42" spans="2:6" ht="24.95" customHeight="1" x14ac:dyDescent="0.15">
      <c r="B42" s="5" t="s">
        <v>30</v>
      </c>
      <c r="C42" s="12">
        <v>0</v>
      </c>
    </row>
  </sheetData>
  <printOptions horizontalCentered="1"/>
  <pageMargins left="0.35" right="0.41" top="0.41" bottom="0.35" header="0.3" footer="0.3"/>
  <pageSetup paperSize="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2023B909-7F76-8148-A617-68C5016DA67D}">
            <xm:f>'Dados do gráfico'!$B$6</xm:f>
            <x14:dxf>
              <font>
                <color theme="5" tint="-0.24991607409894101"/>
              </font>
            </x14:dxf>
          </x14:cfRule>
          <xm:sqref>C10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B98B-744A-004D-ACA2-CDE97184CE9A}">
  <sheetPr>
    <tabColor theme="4"/>
    <pageSetUpPr fitToPage="1"/>
  </sheetPr>
  <dimension ref="B1:F42"/>
  <sheetViews>
    <sheetView showGridLines="0" topLeftCell="C24" zoomScale="125" zoomScaleNormal="125" workbookViewId="0">
      <selection activeCell="F30" sqref="F30"/>
    </sheetView>
  </sheetViews>
  <sheetFormatPr defaultColWidth="8.875" defaultRowHeight="28.5" customHeight="1" x14ac:dyDescent="0.15"/>
  <cols>
    <col min="1" max="1" width="3.2578125" customWidth="1"/>
    <col min="2" max="2" width="40.23046875" customWidth="1"/>
    <col min="3" max="3" width="20.33984375" customWidth="1"/>
    <col min="4" max="4" width="8.98828125" customWidth="1"/>
    <col min="5" max="5" width="11.125" bestFit="1" customWidth="1"/>
    <col min="6" max="6" width="13.37109375" customWidth="1"/>
  </cols>
  <sheetData>
    <row r="1" spans="2:3" ht="35.25" customHeight="1" x14ac:dyDescent="0.4">
      <c r="B1" s="9" t="s">
        <v>0</v>
      </c>
      <c r="C1" s="1"/>
    </row>
    <row r="2" spans="2:3" ht="37.5" customHeight="1" x14ac:dyDescent="0.25">
      <c r="B2" s="1" t="s">
        <v>1</v>
      </c>
      <c r="C2" s="1" t="s">
        <v>2</v>
      </c>
    </row>
    <row r="3" spans="2:3" ht="30" customHeight="1" x14ac:dyDescent="0.15">
      <c r="B3" s="2"/>
      <c r="C3" t="s">
        <v>3</v>
      </c>
    </row>
    <row r="4" spans="2:3" ht="20.45" customHeight="1" x14ac:dyDescent="0.15">
      <c r="C4" s="11">
        <f>SUM(Renda710131619222528313437[Valor])</f>
        <v>10920.95</v>
      </c>
    </row>
    <row r="5" spans="2:3" ht="20.45" customHeight="1" x14ac:dyDescent="0.15">
      <c r="C5" t="s">
        <v>4</v>
      </c>
    </row>
    <row r="6" spans="2:3" ht="20.45" customHeight="1" x14ac:dyDescent="0.15">
      <c r="C6" s="11">
        <f>SUM(Despesas69121518212427303336[Valor])</f>
        <v>13742.11</v>
      </c>
    </row>
    <row r="7" spans="2:3" ht="20.45" customHeight="1" x14ac:dyDescent="0.15">
      <c r="C7" t="s">
        <v>5</v>
      </c>
    </row>
    <row r="8" spans="2:3" ht="20.45" customHeight="1" x14ac:dyDescent="0.15">
      <c r="C8" s="11">
        <f>SUM(Economias58111417202326293235[Valor])</f>
        <v>0</v>
      </c>
    </row>
    <row r="9" spans="2:3" ht="20.45" customHeight="1" x14ac:dyDescent="0.15">
      <c r="C9" t="s">
        <v>6</v>
      </c>
    </row>
    <row r="10" spans="2:3" ht="20.45" customHeight="1" x14ac:dyDescent="0.15">
      <c r="C10" s="11">
        <f>Renda_mensal_total-Total_mensal_de_despesas-Economia_mensal_total</f>
        <v>-2821.16</v>
      </c>
    </row>
    <row r="11" spans="2:3" ht="22.5" customHeight="1" x14ac:dyDescent="0.15">
      <c r="B11" s="3">
        <f>MIN(Total_mensal_de_despesas/Renda_mensal_total,1)</f>
        <v>1</v>
      </c>
    </row>
    <row r="12" spans="2:3" ht="37.5" customHeight="1" x14ac:dyDescent="0.25">
      <c r="B12" s="1" t="s">
        <v>7</v>
      </c>
    </row>
    <row r="13" spans="2:3" ht="24.95" customHeight="1" x14ac:dyDescent="0.15">
      <c r="B13" s="7" t="s">
        <v>8</v>
      </c>
      <c r="C13" s="7" t="s">
        <v>9</v>
      </c>
    </row>
    <row r="14" spans="2:3" ht="24.95" customHeight="1" x14ac:dyDescent="0.15">
      <c r="B14" t="s">
        <v>10</v>
      </c>
      <c r="C14" s="12">
        <v>10920.95</v>
      </c>
    </row>
    <row r="15" spans="2:3" ht="24.95" customHeight="1" x14ac:dyDescent="0.15">
      <c r="B15" t="s">
        <v>11</v>
      </c>
      <c r="C15" s="12"/>
    </row>
    <row r="16" spans="2:3" ht="24.95" customHeight="1" x14ac:dyDescent="0.15">
      <c r="B16" t="s">
        <v>12</v>
      </c>
      <c r="C16" s="12"/>
    </row>
    <row r="17" spans="2:6" ht="24.95" customHeight="1" x14ac:dyDescent="0.15">
      <c r="C17" s="4"/>
    </row>
    <row r="18" spans="2:6" ht="24.95" customHeight="1" x14ac:dyDescent="0.25">
      <c r="B18" s="1" t="s">
        <v>13</v>
      </c>
    </row>
    <row r="19" spans="2:6" ht="24.95" customHeight="1" x14ac:dyDescent="0.15">
      <c r="B19" s="8" t="s">
        <v>8</v>
      </c>
      <c r="C19" s="8" t="s">
        <v>9</v>
      </c>
    </row>
    <row r="20" spans="2:6" ht="24.95" customHeight="1" x14ac:dyDescent="0.15">
      <c r="B20" s="15" t="s">
        <v>14</v>
      </c>
      <c r="C20" s="16">
        <v>1458.9</v>
      </c>
      <c r="E20" s="18"/>
    </row>
    <row r="21" spans="2:6" ht="24.95" customHeight="1" x14ac:dyDescent="0.15">
      <c r="B21" s="15" t="s">
        <v>15</v>
      </c>
      <c r="C21" s="16">
        <v>257.33999999999997</v>
      </c>
      <c r="E21" s="19"/>
      <c r="F21" s="20">
        <v>277.17</v>
      </c>
    </row>
    <row r="22" spans="2:6" ht="24.95" customHeight="1" x14ac:dyDescent="0.15">
      <c r="B22" s="15" t="s">
        <v>16</v>
      </c>
      <c r="C22" s="16">
        <v>164</v>
      </c>
      <c r="F22" s="20">
        <v>170</v>
      </c>
    </row>
    <row r="23" spans="2:6" ht="24.95" customHeight="1" x14ac:dyDescent="0.15">
      <c r="B23" s="15" t="s">
        <v>39</v>
      </c>
      <c r="C23" s="16">
        <v>30</v>
      </c>
      <c r="F23" s="20">
        <v>33.74</v>
      </c>
    </row>
    <row r="24" spans="2:6" ht="24.95" customHeight="1" x14ac:dyDescent="0.15">
      <c r="B24" s="15" t="s">
        <v>23</v>
      </c>
      <c r="C24" s="24">
        <v>0</v>
      </c>
      <c r="F24" s="20">
        <v>315.3</v>
      </c>
    </row>
    <row r="25" spans="2:6" ht="24.95" customHeight="1" x14ac:dyDescent="0.15">
      <c r="B25" s="15" t="s">
        <v>19</v>
      </c>
      <c r="C25" s="16">
        <v>689.3</v>
      </c>
      <c r="F25" s="20">
        <v>674.13</v>
      </c>
    </row>
    <row r="26" spans="2:6" ht="24.95" customHeight="1" x14ac:dyDescent="0.15">
      <c r="B26" s="15" t="s">
        <v>37</v>
      </c>
      <c r="C26" s="16">
        <v>4756.8900000000003</v>
      </c>
      <c r="F26" s="20">
        <v>147.35</v>
      </c>
    </row>
    <row r="27" spans="2:6" ht="24.95" customHeight="1" x14ac:dyDescent="0.15">
      <c r="B27" s="15" t="s">
        <v>21</v>
      </c>
      <c r="C27" s="16">
        <v>1000</v>
      </c>
      <c r="F27" s="20">
        <v>450.21</v>
      </c>
    </row>
    <row r="28" spans="2:6" ht="24.95" customHeight="1" x14ac:dyDescent="0.15">
      <c r="B28" s="15" t="s">
        <v>22</v>
      </c>
      <c r="C28" s="16">
        <v>292.74</v>
      </c>
      <c r="F28" s="20">
        <v>223.77</v>
      </c>
    </row>
    <row r="29" spans="2:6" ht="24.95" customHeight="1" x14ac:dyDescent="0.15">
      <c r="B29" s="15" t="s">
        <v>31</v>
      </c>
      <c r="C29" s="23">
        <v>625.89</v>
      </c>
      <c r="F29" s="20">
        <v>490.58</v>
      </c>
    </row>
    <row r="30" spans="2:6" ht="24.95" customHeight="1" x14ac:dyDescent="0.15">
      <c r="B30" s="15" t="s">
        <v>24</v>
      </c>
      <c r="C30" s="24">
        <v>0</v>
      </c>
      <c r="F30" s="20">
        <v>221.33</v>
      </c>
    </row>
    <row r="31" spans="2:6" ht="24.95" customHeight="1" x14ac:dyDescent="0.15">
      <c r="B31" s="15" t="s">
        <v>32</v>
      </c>
      <c r="C31" s="16">
        <v>132.44999999999999</v>
      </c>
      <c r="F31" s="20">
        <v>0</v>
      </c>
    </row>
    <row r="32" spans="2:6" ht="24.95" customHeight="1" x14ac:dyDescent="0.15">
      <c r="B32" s="15" t="s">
        <v>33</v>
      </c>
      <c r="C32" s="16">
        <v>418</v>
      </c>
      <c r="F32" s="12">
        <v>0</v>
      </c>
    </row>
    <row r="33" spans="2:6" ht="24.95" customHeight="1" x14ac:dyDescent="0.15">
      <c r="B33" s="15" t="s">
        <v>42</v>
      </c>
      <c r="C33" s="16">
        <v>1806.5</v>
      </c>
      <c r="F33" s="12">
        <v>0</v>
      </c>
    </row>
    <row r="34" spans="2:6" ht="24.95" customHeight="1" x14ac:dyDescent="0.15">
      <c r="B34" t="s">
        <v>35</v>
      </c>
      <c r="C34" s="16">
        <v>1247.4000000000001</v>
      </c>
      <c r="F34" s="18">
        <f>SUM(F21:F33)</f>
        <v>3003.58</v>
      </c>
    </row>
    <row r="35" spans="2:6" ht="24.95" customHeight="1" x14ac:dyDescent="0.15">
      <c r="B35" t="s">
        <v>38</v>
      </c>
      <c r="C35" s="16">
        <v>207.75</v>
      </c>
    </row>
    <row r="36" spans="2:6" ht="24.95" customHeight="1" x14ac:dyDescent="0.15">
      <c r="B36" t="s">
        <v>36</v>
      </c>
      <c r="C36" s="16">
        <v>456</v>
      </c>
    </row>
    <row r="37" spans="2:6" ht="24.95" customHeight="1" x14ac:dyDescent="0.15">
      <c r="B37" t="s">
        <v>43</v>
      </c>
      <c r="C37" s="16">
        <v>198.95</v>
      </c>
    </row>
    <row r="38" spans="2:6" ht="24.95" customHeight="1" x14ac:dyDescent="0.25">
      <c r="B38" s="1" t="s">
        <v>28</v>
      </c>
      <c r="C38" s="25"/>
    </row>
    <row r="39" spans="2:6" ht="24.95" customHeight="1" x14ac:dyDescent="0.15">
      <c r="B39" s="13" t="s">
        <v>29</v>
      </c>
      <c r="C39" s="8" t="s">
        <v>9</v>
      </c>
    </row>
    <row r="40" spans="2:6" ht="24.95" customHeight="1" x14ac:dyDescent="0.15">
      <c r="B40" s="5" t="s">
        <v>30</v>
      </c>
      <c r="C40" s="12">
        <v>0</v>
      </c>
    </row>
    <row r="41" spans="2:6" ht="24.95" customHeight="1" x14ac:dyDescent="0.15">
      <c r="B41" s="5" t="s">
        <v>30</v>
      </c>
      <c r="C41" s="12">
        <v>0</v>
      </c>
    </row>
    <row r="42" spans="2:6" ht="24.95" customHeight="1" x14ac:dyDescent="0.15">
      <c r="B42" s="5" t="s">
        <v>30</v>
      </c>
      <c r="C42" s="12">
        <v>0</v>
      </c>
    </row>
  </sheetData>
  <printOptions horizontalCentered="1"/>
  <pageMargins left="0.35" right="0.41" top="0.41" bottom="0.35" header="0.3" footer="0.3"/>
  <pageSetup paperSize="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7A9F6964-366D-654F-9D9C-CAB2CBAE99FF}">
            <xm:f>'Dados do gráfico'!$B$6</xm:f>
            <x14:dxf>
              <font>
                <color theme="5" tint="-0.24991607409894101"/>
              </font>
            </x14:dxf>
          </x14:cfRule>
          <xm:sqref>C10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F1E31-2E2E-FC46-B61C-18D089BD4873}">
  <sheetPr>
    <tabColor theme="4"/>
    <pageSetUpPr fitToPage="1"/>
  </sheetPr>
  <dimension ref="B1:G42"/>
  <sheetViews>
    <sheetView showGridLines="0" zoomScale="125" zoomScaleNormal="125" workbookViewId="0">
      <selection activeCell="B21" sqref="B21"/>
    </sheetView>
  </sheetViews>
  <sheetFormatPr defaultColWidth="8.875" defaultRowHeight="28.5" customHeight="1" x14ac:dyDescent="0.15"/>
  <cols>
    <col min="1" max="1" width="3.2578125" customWidth="1"/>
    <col min="2" max="2" width="40.23046875" customWidth="1"/>
    <col min="3" max="3" width="20.33984375" customWidth="1"/>
    <col min="4" max="4" width="8.98828125" customWidth="1"/>
    <col min="5" max="5" width="11.125" bestFit="1" customWidth="1"/>
    <col min="6" max="6" width="13.37109375" customWidth="1"/>
    <col min="7" max="7" width="10.78515625" bestFit="1" customWidth="1"/>
  </cols>
  <sheetData>
    <row r="1" spans="2:3" ht="35.25" customHeight="1" x14ac:dyDescent="0.4">
      <c r="B1" s="9" t="s">
        <v>0</v>
      </c>
      <c r="C1" s="1"/>
    </row>
    <row r="2" spans="2:3" ht="37.5" customHeight="1" x14ac:dyDescent="0.25">
      <c r="B2" s="1" t="s">
        <v>1</v>
      </c>
      <c r="C2" s="1" t="s">
        <v>2</v>
      </c>
    </row>
    <row r="3" spans="2:3" ht="30" customHeight="1" x14ac:dyDescent="0.15">
      <c r="B3" s="2"/>
      <c r="C3" t="s">
        <v>3</v>
      </c>
    </row>
    <row r="4" spans="2:3" ht="20.45" customHeight="1" x14ac:dyDescent="0.15">
      <c r="C4" s="11">
        <f>SUM(Renda71013161922252831343740[Valor])</f>
        <v>10660</v>
      </c>
    </row>
    <row r="5" spans="2:3" ht="20.45" customHeight="1" x14ac:dyDescent="0.15">
      <c r="C5" t="s">
        <v>4</v>
      </c>
    </row>
    <row r="6" spans="2:3" ht="20.45" customHeight="1" x14ac:dyDescent="0.15">
      <c r="C6" s="11">
        <f>SUM(Despesas6912151821242730333639[Valor])</f>
        <v>16062.010000000004</v>
      </c>
    </row>
    <row r="7" spans="2:3" ht="20.45" customHeight="1" x14ac:dyDescent="0.15">
      <c r="C7" t="s">
        <v>5</v>
      </c>
    </row>
    <row r="8" spans="2:3" ht="20.45" customHeight="1" x14ac:dyDescent="0.15">
      <c r="C8" s="11">
        <f>SUM(Economias5811141720232629323538[Valor])</f>
        <v>0</v>
      </c>
    </row>
    <row r="9" spans="2:3" ht="20.45" customHeight="1" x14ac:dyDescent="0.15">
      <c r="C9" t="s">
        <v>6</v>
      </c>
    </row>
    <row r="10" spans="2:3" ht="20.45" customHeight="1" x14ac:dyDescent="0.15">
      <c r="C10" s="11">
        <f>Renda_mensal_total-Total_mensal_de_despesas-Economia_mensal_total</f>
        <v>-5402.0100000000039</v>
      </c>
    </row>
    <row r="11" spans="2:3" ht="22.5" customHeight="1" x14ac:dyDescent="0.15">
      <c r="B11" s="3">
        <f>MIN(Total_mensal_de_despesas/Renda_mensal_total,1)</f>
        <v>1</v>
      </c>
    </row>
    <row r="12" spans="2:3" ht="37.5" customHeight="1" x14ac:dyDescent="0.25">
      <c r="B12" s="1" t="s">
        <v>7</v>
      </c>
    </row>
    <row r="13" spans="2:3" ht="24.95" customHeight="1" x14ac:dyDescent="0.15">
      <c r="B13" s="7" t="s">
        <v>8</v>
      </c>
      <c r="C13" s="7" t="s">
        <v>9</v>
      </c>
    </row>
    <row r="14" spans="2:3" ht="24.95" customHeight="1" x14ac:dyDescent="0.15">
      <c r="B14" t="s">
        <v>10</v>
      </c>
      <c r="C14" s="12">
        <v>10660</v>
      </c>
    </row>
    <row r="15" spans="2:3" ht="24.95" customHeight="1" x14ac:dyDescent="0.15">
      <c r="B15" t="s">
        <v>11</v>
      </c>
      <c r="C15" s="12"/>
    </row>
    <row r="16" spans="2:3" ht="24.95" customHeight="1" x14ac:dyDescent="0.15">
      <c r="B16" t="s">
        <v>12</v>
      </c>
      <c r="C16" s="12"/>
    </row>
    <row r="17" spans="2:6" ht="24.95" customHeight="1" x14ac:dyDescent="0.15">
      <c r="C17" s="4"/>
    </row>
    <row r="18" spans="2:6" ht="24.95" customHeight="1" x14ac:dyDescent="0.25">
      <c r="B18" s="1" t="s">
        <v>13</v>
      </c>
    </row>
    <row r="19" spans="2:6" ht="24.95" customHeight="1" x14ac:dyDescent="0.15">
      <c r="B19" s="8" t="s">
        <v>8</v>
      </c>
      <c r="C19" s="8" t="s">
        <v>9</v>
      </c>
      <c r="D19" s="27" t="s">
        <v>45</v>
      </c>
    </row>
    <row r="20" spans="2:6" ht="24.95" customHeight="1" x14ac:dyDescent="0.15">
      <c r="B20" s="15" t="s">
        <v>46</v>
      </c>
      <c r="C20" s="16">
        <v>1458.9</v>
      </c>
      <c r="E20" s="18"/>
    </row>
    <row r="21" spans="2:6" ht="24.95" customHeight="1" x14ac:dyDescent="0.15">
      <c r="B21" s="15" t="s">
        <v>15</v>
      </c>
      <c r="C21" s="16">
        <v>308</v>
      </c>
      <c r="E21" s="19"/>
      <c r="F21" s="20">
        <v>0</v>
      </c>
    </row>
    <row r="22" spans="2:6" ht="24.95" customHeight="1" x14ac:dyDescent="0.15">
      <c r="B22" s="15" t="s">
        <v>16</v>
      </c>
      <c r="C22" s="16">
        <v>164</v>
      </c>
      <c r="F22" s="20">
        <v>0</v>
      </c>
    </row>
    <row r="23" spans="2:6" ht="24.95" customHeight="1" x14ac:dyDescent="0.15">
      <c r="B23" s="15" t="s">
        <v>39</v>
      </c>
      <c r="C23" s="16">
        <v>30</v>
      </c>
      <c r="F23" s="20">
        <v>0</v>
      </c>
    </row>
    <row r="24" spans="2:6" ht="24.95" customHeight="1" x14ac:dyDescent="0.15">
      <c r="B24" s="15" t="s">
        <v>44</v>
      </c>
      <c r="C24" s="16">
        <v>149</v>
      </c>
      <c r="F24" s="20">
        <v>0</v>
      </c>
    </row>
    <row r="25" spans="2:6" ht="24.95" customHeight="1" x14ac:dyDescent="0.15">
      <c r="B25" s="15" t="s">
        <v>19</v>
      </c>
      <c r="C25" s="16">
        <v>689.3</v>
      </c>
      <c r="F25" s="20">
        <v>0</v>
      </c>
    </row>
    <row r="26" spans="2:6" ht="24.95" customHeight="1" x14ac:dyDescent="0.15">
      <c r="B26" s="15" t="s">
        <v>37</v>
      </c>
      <c r="C26" s="16">
        <v>7980</v>
      </c>
      <c r="F26" s="20">
        <v>0</v>
      </c>
    </row>
    <row r="27" spans="2:6" ht="24.95" customHeight="1" x14ac:dyDescent="0.15">
      <c r="B27" s="15" t="s">
        <v>21</v>
      </c>
      <c r="C27" s="16">
        <v>1000</v>
      </c>
      <c r="F27" s="20">
        <v>0</v>
      </c>
    </row>
    <row r="28" spans="2:6" ht="24.95" customHeight="1" x14ac:dyDescent="0.15">
      <c r="B28" s="15" t="s">
        <v>22</v>
      </c>
      <c r="C28" s="16">
        <v>206.62</v>
      </c>
      <c r="F28" s="20">
        <v>0</v>
      </c>
    </row>
    <row r="29" spans="2:6" ht="24.95" customHeight="1" x14ac:dyDescent="0.15">
      <c r="B29" s="15" t="s">
        <v>31</v>
      </c>
      <c r="C29" s="23">
        <v>473.09</v>
      </c>
      <c r="F29" s="20">
        <v>0</v>
      </c>
    </row>
    <row r="30" spans="2:6" ht="24.95" customHeight="1" x14ac:dyDescent="0.15">
      <c r="B30" s="15" t="s">
        <v>24</v>
      </c>
      <c r="C30" s="17">
        <v>0</v>
      </c>
      <c r="F30" s="20">
        <v>0</v>
      </c>
    </row>
    <row r="31" spans="2:6" ht="24.95" customHeight="1" x14ac:dyDescent="0.15">
      <c r="B31" s="15" t="s">
        <v>32</v>
      </c>
      <c r="C31" s="16">
        <v>132.44999999999999</v>
      </c>
      <c r="F31" s="20">
        <v>0</v>
      </c>
    </row>
    <row r="32" spans="2:6" ht="24.95" customHeight="1" x14ac:dyDescent="0.15">
      <c r="B32" s="15" t="s">
        <v>33</v>
      </c>
      <c r="C32" s="16">
        <v>374</v>
      </c>
      <c r="F32" s="12">
        <v>0</v>
      </c>
    </row>
    <row r="33" spans="2:7" ht="24.95" customHeight="1" x14ac:dyDescent="0.15">
      <c r="B33" s="15" t="s">
        <v>42</v>
      </c>
      <c r="C33" s="16">
        <v>1804</v>
      </c>
      <c r="F33" s="12">
        <v>0</v>
      </c>
    </row>
    <row r="34" spans="2:7" ht="24.95" customHeight="1" x14ac:dyDescent="0.15">
      <c r="B34" t="s">
        <v>35</v>
      </c>
      <c r="C34" s="16">
        <v>476.45</v>
      </c>
      <c r="F34" s="18">
        <f>SUM(F21:F33)</f>
        <v>0</v>
      </c>
      <c r="G34" s="26"/>
    </row>
    <row r="35" spans="2:7" ht="24.95" customHeight="1" x14ac:dyDescent="0.15">
      <c r="B35" t="s">
        <v>38</v>
      </c>
      <c r="C35" s="16">
        <v>207.75</v>
      </c>
    </row>
    <row r="36" spans="2:7" ht="24.95" customHeight="1" x14ac:dyDescent="0.15">
      <c r="B36" t="s">
        <v>36</v>
      </c>
      <c r="C36" s="16">
        <v>409.5</v>
      </c>
    </row>
    <row r="37" spans="2:7" ht="24.95" customHeight="1" x14ac:dyDescent="0.15">
      <c r="B37" t="s">
        <v>43</v>
      </c>
      <c r="C37" s="16">
        <v>198.95</v>
      </c>
    </row>
    <row r="38" spans="2:7" ht="24.95" customHeight="1" x14ac:dyDescent="0.25">
      <c r="B38" s="1" t="s">
        <v>28</v>
      </c>
      <c r="C38" s="17"/>
    </row>
    <row r="39" spans="2:7" ht="24.95" customHeight="1" x14ac:dyDescent="0.15">
      <c r="B39" s="13" t="s">
        <v>29</v>
      </c>
      <c r="C39" s="8" t="s">
        <v>9</v>
      </c>
    </row>
    <row r="40" spans="2:7" ht="24.95" customHeight="1" x14ac:dyDescent="0.15">
      <c r="B40" s="5" t="s">
        <v>30</v>
      </c>
      <c r="C40" s="12">
        <v>0</v>
      </c>
    </row>
    <row r="41" spans="2:7" ht="24.95" customHeight="1" x14ac:dyDescent="0.15">
      <c r="B41" s="5" t="s">
        <v>30</v>
      </c>
      <c r="C41" s="12">
        <v>0</v>
      </c>
    </row>
    <row r="42" spans="2:7" ht="24.95" customHeight="1" x14ac:dyDescent="0.15">
      <c r="B42" s="5" t="s">
        <v>30</v>
      </c>
      <c r="C42" s="12">
        <v>0</v>
      </c>
    </row>
  </sheetData>
  <printOptions horizontalCentered="1"/>
  <pageMargins left="0.35" right="0.41" top="0.41" bottom="0.35" header="0.3" footer="0.3"/>
  <pageSetup paperSize="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246147B6-2A4F-5343-B74E-B6F91EEA0C80}">
            <xm:f>'Dados do gráfico'!$B$6</xm:f>
            <x14:dxf>
              <font>
                <color theme="5" tint="-0.24991607409894101"/>
              </font>
            </x14:dxf>
          </x14:cfRule>
          <xm:sqref>C10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D8BD5-955B-ED4B-BDD4-1C4A5BB98C26}">
  <sheetPr>
    <tabColor theme="4"/>
    <pageSetUpPr fitToPage="1"/>
  </sheetPr>
  <dimension ref="B1:G42"/>
  <sheetViews>
    <sheetView showGridLines="0" topLeftCell="D22" zoomScale="125" zoomScaleNormal="125" workbookViewId="0">
      <selection activeCell="F24" sqref="F24"/>
    </sheetView>
  </sheetViews>
  <sheetFormatPr defaultColWidth="8.875" defaultRowHeight="28.5" customHeight="1" x14ac:dyDescent="0.15"/>
  <cols>
    <col min="1" max="1" width="3.2578125" customWidth="1"/>
    <col min="2" max="2" width="40.23046875" customWidth="1"/>
    <col min="3" max="3" width="20.33984375" customWidth="1"/>
    <col min="4" max="4" width="8.98828125" customWidth="1"/>
    <col min="5" max="5" width="11.125" bestFit="1" customWidth="1"/>
    <col min="6" max="6" width="13.37109375" customWidth="1"/>
    <col min="7" max="7" width="10.78515625" bestFit="1" customWidth="1"/>
  </cols>
  <sheetData>
    <row r="1" spans="2:3" ht="35.25" customHeight="1" x14ac:dyDescent="0.4">
      <c r="B1" s="9" t="s">
        <v>0</v>
      </c>
      <c r="C1" s="1"/>
    </row>
    <row r="2" spans="2:3" ht="37.5" customHeight="1" x14ac:dyDescent="0.25">
      <c r="B2" s="1" t="s">
        <v>1</v>
      </c>
      <c r="C2" s="1" t="s">
        <v>2</v>
      </c>
    </row>
    <row r="3" spans="2:3" ht="30" customHeight="1" x14ac:dyDescent="0.15">
      <c r="B3" s="2"/>
      <c r="C3" t="s">
        <v>3</v>
      </c>
    </row>
    <row r="4" spans="2:3" ht="20.45" customHeight="1" x14ac:dyDescent="0.15">
      <c r="C4" s="11">
        <f>SUM(Renda7101316192225283134374043[Valor])</f>
        <v>17160</v>
      </c>
    </row>
    <row r="5" spans="2:3" ht="20.45" customHeight="1" x14ac:dyDescent="0.15">
      <c r="C5" t="s">
        <v>4</v>
      </c>
    </row>
    <row r="6" spans="2:3" ht="20.45" customHeight="1" x14ac:dyDescent="0.15">
      <c r="C6" s="11">
        <f>SUM(Despesas691215182124273033363942[Valor])</f>
        <v>18142.719999999998</v>
      </c>
    </row>
    <row r="7" spans="2:3" ht="20.45" customHeight="1" x14ac:dyDescent="0.15">
      <c r="C7" t="s">
        <v>5</v>
      </c>
    </row>
    <row r="8" spans="2:3" ht="20.45" customHeight="1" x14ac:dyDescent="0.15">
      <c r="C8" s="11">
        <f>SUM(Economias581114172023262932353841[Valor])</f>
        <v>0</v>
      </c>
    </row>
    <row r="9" spans="2:3" ht="20.45" customHeight="1" x14ac:dyDescent="0.15">
      <c r="C9" t="s">
        <v>6</v>
      </c>
    </row>
    <row r="10" spans="2:3" ht="20.45" customHeight="1" x14ac:dyDescent="0.15">
      <c r="C10" s="11">
        <f>Renda_mensal_total-Total_mensal_de_despesas-Economia_mensal_total</f>
        <v>-982.71999999999753</v>
      </c>
    </row>
    <row r="11" spans="2:3" ht="22.5" customHeight="1" x14ac:dyDescent="0.15">
      <c r="B11" s="3">
        <f>MIN(Total_mensal_de_despesas/Renda_mensal_total,1)</f>
        <v>1</v>
      </c>
    </row>
    <row r="12" spans="2:3" ht="37.5" customHeight="1" x14ac:dyDescent="0.25">
      <c r="B12" s="1" t="s">
        <v>7</v>
      </c>
    </row>
    <row r="13" spans="2:3" ht="24.95" customHeight="1" x14ac:dyDescent="0.15">
      <c r="B13" s="7" t="s">
        <v>8</v>
      </c>
      <c r="C13" s="7" t="s">
        <v>9</v>
      </c>
    </row>
    <row r="14" spans="2:3" ht="24.95" customHeight="1" x14ac:dyDescent="0.15">
      <c r="B14" t="s">
        <v>10</v>
      </c>
      <c r="C14" s="12">
        <v>10810</v>
      </c>
    </row>
    <row r="15" spans="2:3" ht="24.95" customHeight="1" x14ac:dyDescent="0.15">
      <c r="B15" t="s">
        <v>11</v>
      </c>
      <c r="C15" s="12">
        <v>6350</v>
      </c>
    </row>
    <row r="16" spans="2:3" ht="24.95" customHeight="1" x14ac:dyDescent="0.15">
      <c r="B16" t="s">
        <v>12</v>
      </c>
      <c r="C16" s="12"/>
    </row>
    <row r="17" spans="2:6" ht="24.95" customHeight="1" x14ac:dyDescent="0.15">
      <c r="C17" s="4"/>
    </row>
    <row r="18" spans="2:6" ht="24.95" customHeight="1" x14ac:dyDescent="0.25">
      <c r="B18" s="1" t="s">
        <v>13</v>
      </c>
    </row>
    <row r="19" spans="2:6" ht="24.95" customHeight="1" x14ac:dyDescent="0.15">
      <c r="B19" s="8" t="s">
        <v>8</v>
      </c>
      <c r="C19" s="8" t="s">
        <v>9</v>
      </c>
      <c r="D19" s="27" t="s">
        <v>45</v>
      </c>
    </row>
    <row r="20" spans="2:6" ht="24.95" customHeight="1" x14ac:dyDescent="0.15">
      <c r="B20" s="15" t="s">
        <v>46</v>
      </c>
      <c r="C20" s="16">
        <v>1458.9</v>
      </c>
      <c r="E20" s="18"/>
    </row>
    <row r="21" spans="2:6" ht="24.95" customHeight="1" x14ac:dyDescent="0.15">
      <c r="B21" s="15" t="s">
        <v>15</v>
      </c>
      <c r="C21" s="16">
        <v>278.92</v>
      </c>
      <c r="E21" s="19"/>
      <c r="F21" s="20">
        <v>0</v>
      </c>
    </row>
    <row r="22" spans="2:6" ht="24.95" customHeight="1" x14ac:dyDescent="0.15">
      <c r="B22" s="15" t="s">
        <v>16</v>
      </c>
      <c r="C22" s="16">
        <v>168.5</v>
      </c>
      <c r="F22" s="20">
        <v>0</v>
      </c>
    </row>
    <row r="23" spans="2:6" ht="24.95" customHeight="1" x14ac:dyDescent="0.15">
      <c r="B23" s="15" t="s">
        <v>39</v>
      </c>
      <c r="C23" s="16">
        <v>30</v>
      </c>
      <c r="F23" s="20">
        <v>0</v>
      </c>
    </row>
    <row r="24" spans="2:6" ht="24.95" customHeight="1" x14ac:dyDescent="0.15">
      <c r="B24" s="15" t="s">
        <v>44</v>
      </c>
      <c r="C24" s="16">
        <v>149</v>
      </c>
      <c r="F24" s="20">
        <v>0</v>
      </c>
    </row>
    <row r="25" spans="2:6" ht="24.95" customHeight="1" x14ac:dyDescent="0.15">
      <c r="B25" s="15" t="s">
        <v>19</v>
      </c>
      <c r="C25" s="16">
        <v>689.3</v>
      </c>
      <c r="F25" s="20">
        <v>0</v>
      </c>
    </row>
    <row r="26" spans="2:6" ht="24.95" customHeight="1" x14ac:dyDescent="0.15">
      <c r="B26" s="15" t="s">
        <v>37</v>
      </c>
      <c r="C26" s="16">
        <v>10340</v>
      </c>
      <c r="F26" s="20">
        <v>0</v>
      </c>
    </row>
    <row r="27" spans="2:6" ht="24.95" customHeight="1" x14ac:dyDescent="0.15">
      <c r="B27" s="15" t="s">
        <v>21</v>
      </c>
      <c r="C27" s="16">
        <v>1000</v>
      </c>
      <c r="F27" s="20">
        <v>198.95</v>
      </c>
    </row>
    <row r="28" spans="2:6" ht="24.95" customHeight="1" x14ac:dyDescent="0.15">
      <c r="B28" s="15" t="s">
        <v>22</v>
      </c>
      <c r="C28" s="16">
        <v>180</v>
      </c>
      <c r="F28" s="20">
        <v>0</v>
      </c>
    </row>
    <row r="29" spans="2:6" ht="24.95" customHeight="1" x14ac:dyDescent="0.15">
      <c r="B29" s="15" t="s">
        <v>31</v>
      </c>
      <c r="C29" s="23">
        <v>473.09</v>
      </c>
      <c r="F29" s="20">
        <v>0</v>
      </c>
    </row>
    <row r="30" spans="2:6" ht="24.95" customHeight="1" x14ac:dyDescent="0.15">
      <c r="B30" s="15" t="s">
        <v>24</v>
      </c>
      <c r="C30" s="17">
        <v>0</v>
      </c>
      <c r="F30" s="20">
        <v>0</v>
      </c>
    </row>
    <row r="31" spans="2:6" ht="24.95" customHeight="1" x14ac:dyDescent="0.15">
      <c r="B31" s="15" t="s">
        <v>32</v>
      </c>
      <c r="C31" s="16">
        <v>222.31</v>
      </c>
      <c r="F31" s="20">
        <v>0</v>
      </c>
    </row>
    <row r="32" spans="2:6" ht="24.95" customHeight="1" x14ac:dyDescent="0.15">
      <c r="B32" s="15" t="s">
        <v>33</v>
      </c>
      <c r="C32" s="16">
        <v>374</v>
      </c>
      <c r="F32" s="12">
        <v>0</v>
      </c>
    </row>
    <row r="33" spans="2:7" ht="24.95" customHeight="1" x14ac:dyDescent="0.15">
      <c r="B33" s="15" t="s">
        <v>42</v>
      </c>
      <c r="C33" s="16">
        <v>1807</v>
      </c>
      <c r="F33" s="12">
        <v>0</v>
      </c>
    </row>
    <row r="34" spans="2:7" ht="24.95" customHeight="1" x14ac:dyDescent="0.15">
      <c r="B34" t="s">
        <v>35</v>
      </c>
      <c r="C34" s="16">
        <v>565</v>
      </c>
      <c r="F34" s="18">
        <f>SUM(F21:F33)</f>
        <v>198.95</v>
      </c>
      <c r="G34" s="26"/>
    </row>
    <row r="35" spans="2:7" ht="24.95" customHeight="1" x14ac:dyDescent="0.15">
      <c r="B35" t="s">
        <v>38</v>
      </c>
      <c r="C35" s="16">
        <v>207.75</v>
      </c>
    </row>
    <row r="36" spans="2:7" ht="24.95" customHeight="1" x14ac:dyDescent="0.15">
      <c r="B36" t="s">
        <v>36</v>
      </c>
      <c r="C36" s="17">
        <v>0</v>
      </c>
    </row>
    <row r="37" spans="2:7" ht="24.95" customHeight="1" x14ac:dyDescent="0.15">
      <c r="B37" t="s">
        <v>43</v>
      </c>
      <c r="C37" s="17">
        <v>198.95</v>
      </c>
    </row>
    <row r="38" spans="2:7" ht="24.95" customHeight="1" x14ac:dyDescent="0.25">
      <c r="B38" s="1" t="s">
        <v>28</v>
      </c>
      <c r="C38" s="17"/>
    </row>
    <row r="39" spans="2:7" ht="24.95" customHeight="1" x14ac:dyDescent="0.15">
      <c r="B39" s="13" t="s">
        <v>29</v>
      </c>
      <c r="C39" s="8" t="s">
        <v>9</v>
      </c>
    </row>
    <row r="40" spans="2:7" ht="24.95" customHeight="1" x14ac:dyDescent="0.15">
      <c r="B40" s="5" t="s">
        <v>30</v>
      </c>
      <c r="C40" s="12">
        <v>0</v>
      </c>
    </row>
    <row r="41" spans="2:7" ht="24.95" customHeight="1" x14ac:dyDescent="0.15">
      <c r="B41" s="5" t="s">
        <v>30</v>
      </c>
      <c r="C41" s="12">
        <v>0</v>
      </c>
    </row>
    <row r="42" spans="2:7" ht="24.95" customHeight="1" x14ac:dyDescent="0.15">
      <c r="B42" s="5" t="s">
        <v>30</v>
      </c>
      <c r="C42" s="12">
        <v>0</v>
      </c>
    </row>
  </sheetData>
  <printOptions horizontalCentered="1"/>
  <pageMargins left="0.35" right="0.41" top="0.41" bottom="0.35" header="0.3" footer="0.3"/>
  <pageSetup paperSize="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CC3E3FB2-BE28-034E-8B5E-CF3C7F25C6E4}">
            <xm:f>'Dados do gráfico'!$B$6</xm:f>
            <x14:dxf>
              <font>
                <color theme="5" tint="-0.24991607409894101"/>
              </font>
            </x14:dxf>
          </x14:cfRule>
          <xm:sqref>C10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673FD-94D3-9C4B-AEB5-C289D16D94D9}">
  <sheetPr>
    <tabColor theme="4"/>
    <pageSetUpPr fitToPage="1"/>
  </sheetPr>
  <dimension ref="B1:G42"/>
  <sheetViews>
    <sheetView showGridLines="0" topLeftCell="A14" zoomScale="125" zoomScaleNormal="125" workbookViewId="0">
      <selection activeCell="E12" sqref="E12"/>
    </sheetView>
  </sheetViews>
  <sheetFormatPr defaultColWidth="8.875" defaultRowHeight="28.5" customHeight="1" x14ac:dyDescent="0.15"/>
  <cols>
    <col min="1" max="1" width="3.2578125" customWidth="1"/>
    <col min="2" max="2" width="40.23046875" customWidth="1"/>
    <col min="3" max="3" width="20.33984375" customWidth="1"/>
    <col min="4" max="4" width="8.98828125" customWidth="1"/>
    <col min="5" max="5" width="11.125" bestFit="1" customWidth="1"/>
    <col min="6" max="6" width="13.37109375" customWidth="1"/>
    <col min="7" max="7" width="10.78515625" bestFit="1" customWidth="1"/>
  </cols>
  <sheetData>
    <row r="1" spans="2:3" ht="35.25" customHeight="1" x14ac:dyDescent="0.4">
      <c r="B1" s="9" t="s">
        <v>0</v>
      </c>
      <c r="C1" s="1"/>
    </row>
    <row r="2" spans="2:3" ht="37.5" customHeight="1" x14ac:dyDescent="0.25">
      <c r="B2" s="1" t="s">
        <v>1</v>
      </c>
      <c r="C2" s="1" t="s">
        <v>2</v>
      </c>
    </row>
    <row r="3" spans="2:3" ht="30" customHeight="1" x14ac:dyDescent="0.15">
      <c r="B3" s="2"/>
      <c r="C3" t="s">
        <v>3</v>
      </c>
    </row>
    <row r="4" spans="2:3" ht="20.45" customHeight="1" x14ac:dyDescent="0.15">
      <c r="C4" s="11">
        <f>SUM(Renda710131619222528313437404346[Valor])</f>
        <v>10810</v>
      </c>
    </row>
    <row r="5" spans="2:3" ht="20.45" customHeight="1" x14ac:dyDescent="0.15">
      <c r="C5" t="s">
        <v>4</v>
      </c>
    </row>
    <row r="6" spans="2:3" ht="20.45" customHeight="1" x14ac:dyDescent="0.15">
      <c r="C6" s="11">
        <f>SUM(Despesas69121518212427303336394245[Valor])</f>
        <v>16082.94</v>
      </c>
    </row>
    <row r="7" spans="2:3" ht="20.45" customHeight="1" x14ac:dyDescent="0.15">
      <c r="C7" t="s">
        <v>5</v>
      </c>
    </row>
    <row r="8" spans="2:3" ht="20.45" customHeight="1" x14ac:dyDescent="0.15">
      <c r="C8" s="11">
        <f>SUM(Economias58111417202326293235384144[Valor])</f>
        <v>0</v>
      </c>
    </row>
    <row r="9" spans="2:3" ht="20.45" customHeight="1" x14ac:dyDescent="0.15">
      <c r="C9" t="s">
        <v>6</v>
      </c>
    </row>
    <row r="10" spans="2:3" ht="20.45" customHeight="1" x14ac:dyDescent="0.15">
      <c r="C10" s="11">
        <f>Renda_mensal_total-Total_mensal_de_despesas-Economia_mensal_total</f>
        <v>-5272.9400000000005</v>
      </c>
    </row>
    <row r="11" spans="2:3" ht="22.5" customHeight="1" x14ac:dyDescent="0.15">
      <c r="B11" s="3">
        <f>MIN(Total_mensal_de_despesas/Renda_mensal_total,1)</f>
        <v>1</v>
      </c>
    </row>
    <row r="12" spans="2:3" ht="37.5" customHeight="1" x14ac:dyDescent="0.25">
      <c r="B12" s="1" t="s">
        <v>7</v>
      </c>
    </row>
    <row r="13" spans="2:3" ht="24.95" customHeight="1" x14ac:dyDescent="0.15">
      <c r="B13" s="7" t="s">
        <v>8</v>
      </c>
      <c r="C13" s="7" t="s">
        <v>9</v>
      </c>
    </row>
    <row r="14" spans="2:3" ht="24.95" customHeight="1" x14ac:dyDescent="0.15">
      <c r="B14" t="s">
        <v>10</v>
      </c>
      <c r="C14" s="12">
        <v>10810</v>
      </c>
    </row>
    <row r="15" spans="2:3" ht="24.95" customHeight="1" x14ac:dyDescent="0.15">
      <c r="B15" t="s">
        <v>11</v>
      </c>
      <c r="C15" s="12"/>
    </row>
    <row r="16" spans="2:3" ht="24.95" customHeight="1" x14ac:dyDescent="0.15">
      <c r="B16" t="s">
        <v>12</v>
      </c>
      <c r="C16" s="12"/>
    </row>
    <row r="17" spans="2:6" ht="24.95" customHeight="1" x14ac:dyDescent="0.15">
      <c r="C17" s="4"/>
    </row>
    <row r="18" spans="2:6" ht="24.95" customHeight="1" x14ac:dyDescent="0.25">
      <c r="B18" s="1" t="s">
        <v>13</v>
      </c>
    </row>
    <row r="19" spans="2:6" ht="24.95" customHeight="1" x14ac:dyDescent="0.15">
      <c r="B19" s="8" t="s">
        <v>8</v>
      </c>
      <c r="C19" s="8" t="s">
        <v>9</v>
      </c>
      <c r="D19" s="27" t="s">
        <v>45</v>
      </c>
    </row>
    <row r="20" spans="2:6" ht="24.95" customHeight="1" x14ac:dyDescent="0.15">
      <c r="B20" s="15" t="s">
        <v>46</v>
      </c>
      <c r="C20" s="16">
        <v>1458.9</v>
      </c>
      <c r="E20" s="18"/>
    </row>
    <row r="21" spans="2:6" ht="24.95" customHeight="1" x14ac:dyDescent="0.15">
      <c r="B21" s="15" t="s">
        <v>15</v>
      </c>
      <c r="C21" s="16">
        <v>300</v>
      </c>
      <c r="E21" s="19"/>
      <c r="F21" s="20">
        <v>0</v>
      </c>
    </row>
    <row r="22" spans="2:6" ht="24.95" customHeight="1" x14ac:dyDescent="0.15">
      <c r="B22" s="15" t="s">
        <v>16</v>
      </c>
      <c r="C22" s="16">
        <v>168.5</v>
      </c>
      <c r="F22" s="20">
        <v>0</v>
      </c>
    </row>
    <row r="23" spans="2:6" ht="24.95" customHeight="1" x14ac:dyDescent="0.15">
      <c r="B23" s="15" t="s">
        <v>39</v>
      </c>
      <c r="C23" s="16">
        <v>30</v>
      </c>
      <c r="F23" s="20">
        <v>0</v>
      </c>
    </row>
    <row r="24" spans="2:6" ht="24.95" customHeight="1" x14ac:dyDescent="0.15">
      <c r="B24" s="15" t="s">
        <v>44</v>
      </c>
      <c r="C24" s="16">
        <v>149</v>
      </c>
      <c r="F24" s="20">
        <v>0</v>
      </c>
    </row>
    <row r="25" spans="2:6" ht="24.95" customHeight="1" x14ac:dyDescent="0.15">
      <c r="B25" s="15" t="s">
        <v>19</v>
      </c>
      <c r="C25" s="16">
        <v>689.3</v>
      </c>
      <c r="F25" s="20">
        <v>0</v>
      </c>
    </row>
    <row r="26" spans="2:6" ht="24.95" customHeight="1" x14ac:dyDescent="0.15">
      <c r="B26" s="15" t="s">
        <v>37</v>
      </c>
      <c r="C26" s="16">
        <v>6000</v>
      </c>
      <c r="F26" s="20">
        <v>0</v>
      </c>
    </row>
    <row r="27" spans="2:6" ht="24.95" customHeight="1" x14ac:dyDescent="0.15">
      <c r="B27" s="15" t="s">
        <v>21</v>
      </c>
      <c r="C27" s="16">
        <v>1000</v>
      </c>
      <c r="F27" s="20">
        <v>0</v>
      </c>
    </row>
    <row r="28" spans="2:6" ht="24.95" customHeight="1" x14ac:dyDescent="0.15">
      <c r="B28" s="15" t="s">
        <v>22</v>
      </c>
      <c r="C28" s="16">
        <v>533.39</v>
      </c>
      <c r="F28" s="20">
        <v>0</v>
      </c>
    </row>
    <row r="29" spans="2:6" ht="24.95" customHeight="1" x14ac:dyDescent="0.15">
      <c r="B29" s="15" t="s">
        <v>31</v>
      </c>
      <c r="C29" s="23">
        <v>473.09</v>
      </c>
      <c r="F29" s="20">
        <v>0</v>
      </c>
    </row>
    <row r="30" spans="2:6" ht="24.95" customHeight="1" x14ac:dyDescent="0.15">
      <c r="B30" s="15" t="s">
        <v>47</v>
      </c>
      <c r="C30" s="16">
        <v>1280</v>
      </c>
      <c r="F30" s="20">
        <v>0</v>
      </c>
    </row>
    <row r="31" spans="2:6" ht="24.95" customHeight="1" x14ac:dyDescent="0.15">
      <c r="B31" s="15" t="s">
        <v>32</v>
      </c>
      <c r="C31" s="16">
        <v>222.31</v>
      </c>
      <c r="F31" s="20">
        <v>0</v>
      </c>
    </row>
    <row r="32" spans="2:6" ht="24.95" customHeight="1" x14ac:dyDescent="0.15">
      <c r="B32" s="15" t="s">
        <v>33</v>
      </c>
      <c r="C32" s="16">
        <v>402</v>
      </c>
      <c r="F32" s="12">
        <v>0</v>
      </c>
    </row>
    <row r="33" spans="2:7" ht="24.95" customHeight="1" x14ac:dyDescent="0.15">
      <c r="B33" s="15" t="s">
        <v>42</v>
      </c>
      <c r="C33" s="16">
        <v>1807</v>
      </c>
      <c r="F33" s="12">
        <v>0</v>
      </c>
    </row>
    <row r="34" spans="2:7" ht="24.95" customHeight="1" x14ac:dyDescent="0.15">
      <c r="B34" t="s">
        <v>35</v>
      </c>
      <c r="C34" s="16">
        <v>670</v>
      </c>
      <c r="F34" s="18">
        <f>SUM(F21:F33)</f>
        <v>0</v>
      </c>
      <c r="G34" s="26"/>
    </row>
    <row r="35" spans="2:7" ht="24.95" customHeight="1" x14ac:dyDescent="0.15">
      <c r="B35" t="s">
        <v>38</v>
      </c>
      <c r="C35" s="16">
        <v>173</v>
      </c>
    </row>
    <row r="36" spans="2:7" ht="24.95" customHeight="1" x14ac:dyDescent="0.15">
      <c r="B36" t="s">
        <v>36</v>
      </c>
      <c r="C36" s="16">
        <v>527.5</v>
      </c>
    </row>
    <row r="37" spans="2:7" ht="24.95" customHeight="1" x14ac:dyDescent="0.15">
      <c r="B37" t="s">
        <v>43</v>
      </c>
      <c r="C37" s="16">
        <v>198.95</v>
      </c>
    </row>
    <row r="38" spans="2:7" ht="24.95" customHeight="1" x14ac:dyDescent="0.25">
      <c r="B38" s="1" t="s">
        <v>28</v>
      </c>
      <c r="C38" s="17"/>
    </row>
    <row r="39" spans="2:7" ht="24.95" customHeight="1" x14ac:dyDescent="0.15">
      <c r="B39" s="13" t="s">
        <v>29</v>
      </c>
      <c r="C39" s="8" t="s">
        <v>9</v>
      </c>
    </row>
    <row r="40" spans="2:7" ht="24.95" customHeight="1" x14ac:dyDescent="0.15">
      <c r="B40" s="5" t="s">
        <v>30</v>
      </c>
      <c r="C40" s="12">
        <v>0</v>
      </c>
    </row>
    <row r="41" spans="2:7" ht="24.95" customHeight="1" x14ac:dyDescent="0.15">
      <c r="B41" s="5" t="s">
        <v>30</v>
      </c>
      <c r="C41" s="12">
        <v>0</v>
      </c>
    </row>
    <row r="42" spans="2:7" ht="24.95" customHeight="1" x14ac:dyDescent="0.15">
      <c r="B42" s="5" t="s">
        <v>30</v>
      </c>
      <c r="C42" s="12">
        <v>0</v>
      </c>
    </row>
  </sheetData>
  <printOptions horizontalCentered="1"/>
  <pageMargins left="0.35" right="0.41" top="0.41" bottom="0.35" header="0.3" footer="0.3"/>
  <pageSetup paperSize="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57A48295-C9D6-8A4B-8D6A-82B72C5F958C}">
            <xm:f>'Dados do gráfico'!$B$6</xm:f>
            <x14:dxf>
              <font>
                <color theme="5" tint="-0.24991607409894101"/>
              </font>
            </x14:dxf>
          </x14:cfRule>
          <xm:sqref>C10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2A1EE-EDAD-8B4E-9AA9-5A3F85602EC2}">
  <sheetPr>
    <tabColor theme="4"/>
    <pageSetUpPr fitToPage="1"/>
  </sheetPr>
  <dimension ref="B1:G42"/>
  <sheetViews>
    <sheetView showGridLines="0" topLeftCell="B27" zoomScale="125" zoomScaleNormal="125" workbookViewId="0">
      <selection activeCell="F35" sqref="F35"/>
    </sheetView>
  </sheetViews>
  <sheetFormatPr defaultColWidth="8.875" defaultRowHeight="28.5" customHeight="1" x14ac:dyDescent="0.15"/>
  <cols>
    <col min="1" max="1" width="3.2578125" customWidth="1"/>
    <col min="2" max="2" width="40.23046875" customWidth="1"/>
    <col min="3" max="3" width="20.33984375" customWidth="1"/>
    <col min="4" max="4" width="8.98828125" customWidth="1"/>
    <col min="5" max="5" width="11.125" bestFit="1" customWidth="1"/>
    <col min="6" max="6" width="13.37109375" customWidth="1"/>
    <col min="7" max="7" width="10.78515625" bestFit="1" customWidth="1"/>
  </cols>
  <sheetData>
    <row r="1" spans="2:3" ht="35.25" customHeight="1" x14ac:dyDescent="0.4">
      <c r="B1" s="9" t="s">
        <v>0</v>
      </c>
      <c r="C1" s="1"/>
    </row>
    <row r="2" spans="2:3" ht="37.5" customHeight="1" x14ac:dyDescent="0.25">
      <c r="B2" s="1" t="s">
        <v>1</v>
      </c>
      <c r="C2" s="1" t="s">
        <v>2</v>
      </c>
    </row>
    <row r="3" spans="2:3" ht="30" customHeight="1" x14ac:dyDescent="0.15">
      <c r="B3" s="2"/>
      <c r="C3" t="s">
        <v>3</v>
      </c>
    </row>
    <row r="4" spans="2:3" ht="20.45" customHeight="1" x14ac:dyDescent="0.15">
      <c r="C4" s="11">
        <f>SUM(Renda71013161922252831343740434649[Valor])</f>
        <v>10656</v>
      </c>
    </row>
    <row r="5" spans="2:3" ht="20.45" customHeight="1" x14ac:dyDescent="0.15">
      <c r="C5" t="s">
        <v>4</v>
      </c>
    </row>
    <row r="6" spans="2:3" ht="20.45" customHeight="1" x14ac:dyDescent="0.15">
      <c r="C6" s="11">
        <f>SUM(Despesas6912151821242730333639424548[Valor])</f>
        <v>19797.82</v>
      </c>
    </row>
    <row r="7" spans="2:3" ht="20.45" customHeight="1" x14ac:dyDescent="0.15">
      <c r="C7" t="s">
        <v>5</v>
      </c>
    </row>
    <row r="8" spans="2:3" ht="20.45" customHeight="1" x14ac:dyDescent="0.15">
      <c r="C8" s="11">
        <f>SUM(Economias5811141720232629323538414447[Valor])</f>
        <v>0</v>
      </c>
    </row>
    <row r="9" spans="2:3" ht="20.45" customHeight="1" x14ac:dyDescent="0.15">
      <c r="C9" t="s">
        <v>6</v>
      </c>
    </row>
    <row r="10" spans="2:3" ht="20.45" customHeight="1" x14ac:dyDescent="0.15">
      <c r="C10" s="11">
        <f>Renda_mensal_total-Total_mensal_de_despesas-Economia_mensal_total</f>
        <v>-9141.82</v>
      </c>
    </row>
    <row r="11" spans="2:3" ht="22.5" customHeight="1" x14ac:dyDescent="0.15">
      <c r="B11" s="3">
        <f>MIN(Total_mensal_de_despesas/Renda_mensal_total,1)</f>
        <v>1</v>
      </c>
    </row>
    <row r="12" spans="2:3" ht="37.5" customHeight="1" x14ac:dyDescent="0.25">
      <c r="B12" s="1" t="s">
        <v>7</v>
      </c>
    </row>
    <row r="13" spans="2:3" ht="24.95" customHeight="1" x14ac:dyDescent="0.15">
      <c r="B13" s="7" t="s">
        <v>8</v>
      </c>
      <c r="C13" s="7" t="s">
        <v>9</v>
      </c>
    </row>
    <row r="14" spans="2:3" ht="24.95" customHeight="1" x14ac:dyDescent="0.15">
      <c r="B14" t="s">
        <v>10</v>
      </c>
      <c r="C14" s="12">
        <v>10656</v>
      </c>
    </row>
    <row r="15" spans="2:3" ht="24.95" customHeight="1" x14ac:dyDescent="0.15">
      <c r="B15" t="s">
        <v>11</v>
      </c>
      <c r="C15" s="12"/>
    </row>
    <row r="16" spans="2:3" ht="24.95" customHeight="1" x14ac:dyDescent="0.15">
      <c r="B16" t="s">
        <v>12</v>
      </c>
      <c r="C16" s="12"/>
    </row>
    <row r="17" spans="2:6" ht="24.95" customHeight="1" x14ac:dyDescent="0.15">
      <c r="C17" s="4"/>
    </row>
    <row r="18" spans="2:6" ht="24.95" customHeight="1" x14ac:dyDescent="0.25">
      <c r="B18" s="1" t="s">
        <v>13</v>
      </c>
    </row>
    <row r="19" spans="2:6" ht="24.95" customHeight="1" x14ac:dyDescent="0.15">
      <c r="B19" s="8" t="s">
        <v>8</v>
      </c>
      <c r="C19" s="8" t="s">
        <v>9</v>
      </c>
      <c r="D19" s="27" t="s">
        <v>45</v>
      </c>
    </row>
    <row r="20" spans="2:6" ht="24.95" customHeight="1" x14ac:dyDescent="0.15">
      <c r="B20" s="15" t="s">
        <v>46</v>
      </c>
      <c r="C20" s="16">
        <v>1458.9</v>
      </c>
      <c r="E20" s="18"/>
    </row>
    <row r="21" spans="2:6" ht="24.95" customHeight="1" x14ac:dyDescent="0.15">
      <c r="B21" s="15" t="s">
        <v>15</v>
      </c>
      <c r="C21" s="16">
        <v>308.91000000000003</v>
      </c>
      <c r="E21" s="19"/>
      <c r="F21" s="28">
        <v>0</v>
      </c>
    </row>
    <row r="22" spans="2:6" ht="24.95" customHeight="1" x14ac:dyDescent="0.15">
      <c r="B22" s="15" t="s">
        <v>16</v>
      </c>
      <c r="C22" s="16">
        <v>168.5</v>
      </c>
      <c r="F22" s="28">
        <v>0</v>
      </c>
    </row>
    <row r="23" spans="2:6" ht="24.95" customHeight="1" x14ac:dyDescent="0.15">
      <c r="B23" s="15" t="s">
        <v>39</v>
      </c>
      <c r="C23" s="16">
        <v>30</v>
      </c>
      <c r="F23" s="28">
        <v>0</v>
      </c>
    </row>
    <row r="24" spans="2:6" ht="24.95" customHeight="1" x14ac:dyDescent="0.15">
      <c r="B24" s="15" t="s">
        <v>44</v>
      </c>
      <c r="C24" s="16">
        <v>149</v>
      </c>
      <c r="F24" s="28">
        <v>0</v>
      </c>
    </row>
    <row r="25" spans="2:6" ht="24.95" customHeight="1" x14ac:dyDescent="0.15">
      <c r="B25" s="15" t="s">
        <v>19</v>
      </c>
      <c r="C25" s="16">
        <v>689.3</v>
      </c>
      <c r="F25" s="28">
        <v>0</v>
      </c>
    </row>
    <row r="26" spans="2:6" ht="24.95" customHeight="1" x14ac:dyDescent="0.15">
      <c r="B26" s="15" t="s">
        <v>37</v>
      </c>
      <c r="C26" s="16">
        <v>9708</v>
      </c>
      <c r="F26" s="28">
        <v>0</v>
      </c>
    </row>
    <row r="27" spans="2:6" ht="24.95" customHeight="1" x14ac:dyDescent="0.15">
      <c r="B27" s="15" t="s">
        <v>21</v>
      </c>
      <c r="C27" s="16">
        <v>1000</v>
      </c>
      <c r="F27" s="20">
        <v>0</v>
      </c>
    </row>
    <row r="28" spans="2:6" ht="24.95" customHeight="1" x14ac:dyDescent="0.15">
      <c r="B28" s="15" t="s">
        <v>22</v>
      </c>
      <c r="C28" s="16">
        <v>513.49</v>
      </c>
      <c r="F28" s="20">
        <v>0</v>
      </c>
    </row>
    <row r="29" spans="2:6" ht="24.95" customHeight="1" x14ac:dyDescent="0.15">
      <c r="B29" s="15" t="s">
        <v>31</v>
      </c>
      <c r="C29" s="23">
        <v>320.69</v>
      </c>
      <c r="F29" s="20">
        <v>0</v>
      </c>
    </row>
    <row r="30" spans="2:6" ht="24.95" customHeight="1" x14ac:dyDescent="0.15">
      <c r="B30" s="15" t="s">
        <v>47</v>
      </c>
      <c r="C30" s="16">
        <v>1480</v>
      </c>
      <c r="F30" s="20">
        <v>0</v>
      </c>
    </row>
    <row r="31" spans="2:6" ht="24.95" customHeight="1" x14ac:dyDescent="0.15">
      <c r="B31" s="15" t="s">
        <v>32</v>
      </c>
      <c r="C31" s="16">
        <v>222.31</v>
      </c>
      <c r="F31" s="20">
        <v>0</v>
      </c>
    </row>
    <row r="32" spans="2:6" ht="24.95" customHeight="1" x14ac:dyDescent="0.15">
      <c r="B32" s="15" t="s">
        <v>33</v>
      </c>
      <c r="C32" s="16">
        <v>569.77</v>
      </c>
      <c r="F32" s="12">
        <v>0</v>
      </c>
    </row>
    <row r="33" spans="2:7" ht="24.95" customHeight="1" x14ac:dyDescent="0.15">
      <c r="B33" s="15" t="s">
        <v>42</v>
      </c>
      <c r="C33" s="16">
        <v>1807</v>
      </c>
      <c r="F33" s="12">
        <v>0</v>
      </c>
    </row>
    <row r="34" spans="2:7" ht="24.95" customHeight="1" x14ac:dyDescent="0.15">
      <c r="B34" t="s">
        <v>35</v>
      </c>
      <c r="C34" s="16">
        <v>1000</v>
      </c>
      <c r="F34" s="12">
        <v>0</v>
      </c>
      <c r="G34" s="26"/>
    </row>
    <row r="35" spans="2:7" ht="24.95" customHeight="1" x14ac:dyDescent="0.15">
      <c r="B35" t="s">
        <v>38</v>
      </c>
      <c r="C35" s="16">
        <v>173</v>
      </c>
      <c r="F35" s="12">
        <v>0</v>
      </c>
    </row>
    <row r="36" spans="2:7" ht="24.95" customHeight="1" x14ac:dyDescent="0.15">
      <c r="B36" t="s">
        <v>36</v>
      </c>
      <c r="C36" s="24">
        <v>0</v>
      </c>
      <c r="F36" s="12">
        <v>0</v>
      </c>
    </row>
    <row r="37" spans="2:7" ht="24.95" customHeight="1" x14ac:dyDescent="0.15">
      <c r="B37" t="s">
        <v>43</v>
      </c>
      <c r="C37" s="16">
        <v>198.95</v>
      </c>
      <c r="F37" s="18">
        <f>SUM(F21:F36)</f>
        <v>0</v>
      </c>
    </row>
    <row r="38" spans="2:7" ht="24.95" customHeight="1" x14ac:dyDescent="0.25">
      <c r="B38" s="1" t="s">
        <v>28</v>
      </c>
      <c r="C38" s="17"/>
      <c r="F38" s="29"/>
    </row>
    <row r="39" spans="2:7" ht="24.95" customHeight="1" x14ac:dyDescent="0.15">
      <c r="B39" s="13" t="s">
        <v>29</v>
      </c>
      <c r="C39" s="8" t="s">
        <v>9</v>
      </c>
      <c r="F39" s="26"/>
    </row>
    <row r="40" spans="2:7" ht="24.95" customHeight="1" x14ac:dyDescent="0.15">
      <c r="B40" s="5" t="s">
        <v>30</v>
      </c>
      <c r="C40" s="12">
        <v>0</v>
      </c>
    </row>
    <row r="41" spans="2:7" ht="24.95" customHeight="1" x14ac:dyDescent="0.15">
      <c r="B41" s="5" t="s">
        <v>30</v>
      </c>
      <c r="C41" s="12">
        <v>0</v>
      </c>
    </row>
    <row r="42" spans="2:7" ht="24.95" customHeight="1" x14ac:dyDescent="0.15">
      <c r="B42" s="5" t="s">
        <v>30</v>
      </c>
      <c r="C42" s="12">
        <v>0</v>
      </c>
    </row>
  </sheetData>
  <printOptions horizontalCentered="1"/>
  <pageMargins left="0.35" right="0.41" top="0.41" bottom="0.35" header="0.3" footer="0.3"/>
  <pageSetup paperSize="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FA5C6BB-AF8B-EE4F-8DF4-2A1EAD7A9FE1}">
            <xm:f>'Dados do gráfico'!$B$6</xm:f>
            <x14:dxf>
              <font>
                <color theme="5" tint="-0.24991607409894101"/>
              </font>
            </x14:dxf>
          </x14:cfRule>
          <xm:sqref>C10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55D43-B05F-944B-AEB5-6BA4669F42EC}">
  <sheetPr>
    <tabColor theme="4"/>
    <pageSetUpPr fitToPage="1"/>
  </sheetPr>
  <dimension ref="B1:G44"/>
  <sheetViews>
    <sheetView showGridLines="0" zoomScale="125" zoomScaleNormal="125" workbookViewId="0">
      <selection activeCell="C24" sqref="C24"/>
    </sheetView>
  </sheetViews>
  <sheetFormatPr defaultColWidth="8.875" defaultRowHeight="28.5" customHeight="1" x14ac:dyDescent="0.15"/>
  <cols>
    <col min="1" max="1" width="3.2578125" customWidth="1"/>
    <col min="2" max="2" width="40.23046875" customWidth="1"/>
    <col min="3" max="3" width="20.33984375" customWidth="1"/>
    <col min="4" max="4" width="8.98828125" customWidth="1"/>
    <col min="5" max="5" width="11.125" bestFit="1" customWidth="1"/>
    <col min="6" max="6" width="13.37109375" customWidth="1"/>
    <col min="7" max="7" width="10.78515625" bestFit="1" customWidth="1"/>
  </cols>
  <sheetData>
    <row r="1" spans="2:3" ht="35.25" customHeight="1" x14ac:dyDescent="0.4">
      <c r="B1" s="9" t="s">
        <v>0</v>
      </c>
      <c r="C1" s="1"/>
    </row>
    <row r="2" spans="2:3" ht="37.5" customHeight="1" x14ac:dyDescent="0.25">
      <c r="B2" s="1" t="s">
        <v>1</v>
      </c>
      <c r="C2" s="1" t="s">
        <v>2</v>
      </c>
    </row>
    <row r="3" spans="2:3" ht="30" customHeight="1" x14ac:dyDescent="0.15">
      <c r="B3" s="2"/>
      <c r="C3" t="s">
        <v>3</v>
      </c>
    </row>
    <row r="4" spans="2:3" ht="20.45" customHeight="1" x14ac:dyDescent="0.15">
      <c r="C4" s="11">
        <f>SUM(Renda7101316192225283134374043464952[Valor])</f>
        <v>17129.900000000001</v>
      </c>
    </row>
    <row r="5" spans="2:3" ht="20.45" customHeight="1" x14ac:dyDescent="0.15">
      <c r="C5" t="s">
        <v>4</v>
      </c>
    </row>
    <row r="6" spans="2:3" ht="20.45" customHeight="1" x14ac:dyDescent="0.15">
      <c r="C6" s="11">
        <f>SUM(Despesas691215182124273033363942454851[Valor])</f>
        <v>15236.5</v>
      </c>
    </row>
    <row r="7" spans="2:3" ht="20.45" customHeight="1" x14ac:dyDescent="0.15">
      <c r="C7" t="s">
        <v>5</v>
      </c>
    </row>
    <row r="8" spans="2:3" ht="20.45" customHeight="1" x14ac:dyDescent="0.15">
      <c r="C8" s="11">
        <f>SUM(Economias581114172023262932353841444750[Valor])</f>
        <v>0</v>
      </c>
    </row>
    <row r="9" spans="2:3" ht="20.45" customHeight="1" x14ac:dyDescent="0.15">
      <c r="C9" t="s">
        <v>6</v>
      </c>
    </row>
    <row r="10" spans="2:3" ht="20.45" customHeight="1" x14ac:dyDescent="0.15">
      <c r="C10" s="11">
        <f>Renda_mensal_total-Total_mensal_de_despesas-Economia_mensal_total</f>
        <v>1893.4000000000015</v>
      </c>
    </row>
    <row r="11" spans="2:3" ht="22.5" customHeight="1" x14ac:dyDescent="0.15">
      <c r="B11" s="3">
        <f>MIN(Total_mensal_de_despesas/Renda_mensal_total,1)</f>
        <v>0.8894681229896263</v>
      </c>
    </row>
    <row r="12" spans="2:3" ht="37.5" customHeight="1" x14ac:dyDescent="0.25">
      <c r="B12" s="1" t="s">
        <v>7</v>
      </c>
    </row>
    <row r="13" spans="2:3" ht="24.95" customHeight="1" x14ac:dyDescent="0.15">
      <c r="B13" s="7" t="s">
        <v>8</v>
      </c>
      <c r="C13" s="7" t="s">
        <v>9</v>
      </c>
    </row>
    <row r="14" spans="2:3" ht="24.95" customHeight="1" x14ac:dyDescent="0.15">
      <c r="B14" t="s">
        <v>10</v>
      </c>
      <c r="C14" s="12">
        <v>17129.900000000001</v>
      </c>
    </row>
    <row r="15" spans="2:3" ht="24.95" customHeight="1" x14ac:dyDescent="0.15">
      <c r="B15" t="s">
        <v>11</v>
      </c>
      <c r="C15" s="12"/>
    </row>
    <row r="16" spans="2:3" ht="24.95" customHeight="1" x14ac:dyDescent="0.15">
      <c r="B16" t="s">
        <v>12</v>
      </c>
      <c r="C16" s="12"/>
    </row>
    <row r="17" spans="2:6" ht="24.95" customHeight="1" x14ac:dyDescent="0.15">
      <c r="C17" s="4"/>
    </row>
    <row r="18" spans="2:6" ht="24.95" customHeight="1" x14ac:dyDescent="0.25">
      <c r="B18" s="1" t="s">
        <v>13</v>
      </c>
    </row>
    <row r="19" spans="2:6" ht="24.95" customHeight="1" x14ac:dyDescent="0.15">
      <c r="B19" s="8" t="s">
        <v>8</v>
      </c>
      <c r="C19" s="8" t="s">
        <v>9</v>
      </c>
      <c r="D19" s="27" t="s">
        <v>45</v>
      </c>
    </row>
    <row r="20" spans="2:6" ht="24.95" customHeight="1" x14ac:dyDescent="0.15">
      <c r="B20" s="15" t="s">
        <v>46</v>
      </c>
      <c r="C20" s="16">
        <v>1383.22</v>
      </c>
      <c r="E20" s="18"/>
    </row>
    <row r="21" spans="2:6" ht="24.95" customHeight="1" x14ac:dyDescent="0.15">
      <c r="B21" s="15" t="s">
        <v>15</v>
      </c>
      <c r="C21" s="16">
        <v>322</v>
      </c>
      <c r="E21" s="19"/>
      <c r="F21" s="28">
        <v>149</v>
      </c>
    </row>
    <row r="22" spans="2:6" ht="24.95" customHeight="1" x14ac:dyDescent="0.15">
      <c r="B22" s="15" t="s">
        <v>16</v>
      </c>
      <c r="C22" s="16">
        <v>172.8</v>
      </c>
      <c r="F22" s="28">
        <v>0</v>
      </c>
    </row>
    <row r="23" spans="2:6" ht="24.95" customHeight="1" x14ac:dyDescent="0.15">
      <c r="B23" s="15" t="s">
        <v>39</v>
      </c>
      <c r="C23" s="16">
        <v>30</v>
      </c>
      <c r="F23" s="28">
        <v>0</v>
      </c>
    </row>
    <row r="24" spans="2:6" ht="24.95" customHeight="1" x14ac:dyDescent="0.15">
      <c r="B24" s="15" t="s">
        <v>44</v>
      </c>
      <c r="C24" s="16">
        <v>149</v>
      </c>
      <c r="F24" s="28">
        <v>0</v>
      </c>
    </row>
    <row r="25" spans="2:6" ht="24.95" customHeight="1" x14ac:dyDescent="0.15">
      <c r="B25" s="15" t="s">
        <v>49</v>
      </c>
      <c r="C25" s="16">
        <v>67.900000000000006</v>
      </c>
      <c r="F25" s="28">
        <v>0</v>
      </c>
    </row>
    <row r="26" spans="2:6" ht="24.95" customHeight="1" x14ac:dyDescent="0.15">
      <c r="B26" s="15" t="s">
        <v>19</v>
      </c>
      <c r="C26" s="16">
        <v>689.3</v>
      </c>
      <c r="F26" s="28">
        <v>0</v>
      </c>
    </row>
    <row r="27" spans="2:6" ht="24.95" customHeight="1" x14ac:dyDescent="0.15">
      <c r="B27" s="15" t="s">
        <v>37</v>
      </c>
      <c r="C27" s="16">
        <v>4284</v>
      </c>
      <c r="F27" s="28">
        <v>0</v>
      </c>
    </row>
    <row r="28" spans="2:6" ht="24.95" customHeight="1" x14ac:dyDescent="0.15">
      <c r="B28" s="15" t="s">
        <v>21</v>
      </c>
      <c r="C28" s="16">
        <v>1000</v>
      </c>
      <c r="F28" s="20">
        <v>0</v>
      </c>
    </row>
    <row r="29" spans="2:6" ht="24.95" customHeight="1" x14ac:dyDescent="0.15">
      <c r="B29" s="15" t="s">
        <v>22</v>
      </c>
      <c r="C29" s="16">
        <v>533.39</v>
      </c>
      <c r="F29" s="20">
        <v>0</v>
      </c>
    </row>
    <row r="30" spans="2:6" ht="24.95" customHeight="1" x14ac:dyDescent="0.15">
      <c r="B30" s="15" t="s">
        <v>31</v>
      </c>
      <c r="C30" s="23">
        <v>320.63</v>
      </c>
      <c r="F30" s="20">
        <v>0</v>
      </c>
    </row>
    <row r="31" spans="2:6" ht="24.95" customHeight="1" x14ac:dyDescent="0.15">
      <c r="B31" s="15" t="s">
        <v>47</v>
      </c>
      <c r="C31" s="16">
        <v>1100</v>
      </c>
      <c r="F31" s="20">
        <v>0</v>
      </c>
    </row>
    <row r="32" spans="2:6" ht="24.95" customHeight="1" x14ac:dyDescent="0.15">
      <c r="B32" s="15" t="s">
        <v>32</v>
      </c>
      <c r="C32" s="16">
        <v>222.31</v>
      </c>
      <c r="F32" s="20">
        <v>0</v>
      </c>
    </row>
    <row r="33" spans="2:7" ht="24.95" customHeight="1" x14ac:dyDescent="0.15">
      <c r="B33" s="15" t="s">
        <v>33</v>
      </c>
      <c r="C33" s="16">
        <v>659</v>
      </c>
      <c r="F33" s="12">
        <v>0</v>
      </c>
    </row>
    <row r="34" spans="2:7" ht="24.95" customHeight="1" x14ac:dyDescent="0.15">
      <c r="B34" s="15" t="s">
        <v>42</v>
      </c>
      <c r="C34" s="16">
        <v>1807</v>
      </c>
      <c r="F34" s="12">
        <v>0</v>
      </c>
    </row>
    <row r="35" spans="2:7" ht="24.95" customHeight="1" x14ac:dyDescent="0.15">
      <c r="B35" t="s">
        <v>35</v>
      </c>
      <c r="C35" s="16">
        <v>344</v>
      </c>
      <c r="F35" s="12">
        <v>0</v>
      </c>
      <c r="G35" s="26"/>
    </row>
    <row r="36" spans="2:7" ht="24.95" customHeight="1" x14ac:dyDescent="0.15">
      <c r="B36" t="s">
        <v>38</v>
      </c>
      <c r="C36" s="16">
        <v>240</v>
      </c>
      <c r="F36" s="12">
        <v>0</v>
      </c>
    </row>
    <row r="37" spans="2:7" ht="24.95" customHeight="1" x14ac:dyDescent="0.15">
      <c r="B37" t="s">
        <v>36</v>
      </c>
      <c r="C37" s="16">
        <v>470</v>
      </c>
      <c r="F37" s="12">
        <v>0</v>
      </c>
    </row>
    <row r="38" spans="2:7" ht="24.95" customHeight="1" x14ac:dyDescent="0.15">
      <c r="B38" t="s">
        <v>48</v>
      </c>
      <c r="C38" s="16">
        <v>1243</v>
      </c>
      <c r="F38" s="12"/>
    </row>
    <row r="39" spans="2:7" ht="24.95" customHeight="1" x14ac:dyDescent="0.15">
      <c r="B39" t="s">
        <v>43</v>
      </c>
      <c r="C39" s="16">
        <v>198.95</v>
      </c>
      <c r="F39" s="18">
        <f>SUM(F21:F37)</f>
        <v>149</v>
      </c>
    </row>
    <row r="40" spans="2:7" ht="24.95" customHeight="1" x14ac:dyDescent="0.25">
      <c r="B40" s="1" t="s">
        <v>28</v>
      </c>
      <c r="C40" s="17"/>
      <c r="F40" s="29"/>
    </row>
    <row r="41" spans="2:7" ht="24.95" customHeight="1" x14ac:dyDescent="0.15">
      <c r="B41" s="13" t="s">
        <v>29</v>
      </c>
      <c r="C41" s="8" t="s">
        <v>9</v>
      </c>
      <c r="F41" s="26"/>
    </row>
    <row r="42" spans="2:7" ht="24.95" customHeight="1" x14ac:dyDescent="0.15">
      <c r="B42" s="5" t="s">
        <v>30</v>
      </c>
      <c r="C42" s="12">
        <v>0</v>
      </c>
    </row>
    <row r="43" spans="2:7" ht="24.95" customHeight="1" x14ac:dyDescent="0.15">
      <c r="B43" s="5" t="s">
        <v>30</v>
      </c>
      <c r="C43" s="12">
        <v>0</v>
      </c>
    </row>
    <row r="44" spans="2:7" ht="24.95" customHeight="1" x14ac:dyDescent="0.15">
      <c r="B44" s="5" t="s">
        <v>30</v>
      </c>
      <c r="C44" s="12">
        <v>0</v>
      </c>
    </row>
  </sheetData>
  <printOptions horizontalCentered="1"/>
  <pageMargins left="0.35" right="0.41" top="0.41" bottom="0.35" header="0.3" footer="0.3"/>
  <pageSetup paperSize="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8858FC87-A418-1448-B44A-F071AEC103ED}">
            <xm:f>'Dados do gráfico'!$B$6</xm:f>
            <x14:dxf>
              <font>
                <color theme="5" tint="-0.24991607409894101"/>
              </font>
            </x14:dxf>
          </x14:cfRule>
          <xm:sqref>C10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2CB03-D4AD-084A-B25C-24EB703FDF66}">
  <sheetPr>
    <tabColor theme="4"/>
    <pageSetUpPr fitToPage="1"/>
  </sheetPr>
  <dimension ref="B1:G45"/>
  <sheetViews>
    <sheetView showGridLines="0" tabSelected="1" zoomScale="125" zoomScaleNormal="125" workbookViewId="0">
      <selection activeCell="C39" sqref="C39"/>
    </sheetView>
  </sheetViews>
  <sheetFormatPr defaultColWidth="8.875" defaultRowHeight="28.5" customHeight="1" x14ac:dyDescent="0.15"/>
  <cols>
    <col min="1" max="1" width="3.2578125" customWidth="1"/>
    <col min="2" max="2" width="40.23046875" customWidth="1"/>
    <col min="3" max="3" width="20.33984375" customWidth="1"/>
    <col min="4" max="4" width="8.98828125" customWidth="1"/>
    <col min="5" max="5" width="11.125" bestFit="1" customWidth="1"/>
    <col min="6" max="6" width="13.37109375" customWidth="1"/>
    <col min="7" max="7" width="10.78515625" bestFit="1" customWidth="1"/>
  </cols>
  <sheetData>
    <row r="1" spans="2:3" ht="35.25" customHeight="1" x14ac:dyDescent="0.4">
      <c r="B1" s="9" t="s">
        <v>0</v>
      </c>
      <c r="C1" s="1"/>
    </row>
    <row r="2" spans="2:3" ht="37.5" customHeight="1" x14ac:dyDescent="0.25">
      <c r="B2" s="1" t="s">
        <v>1</v>
      </c>
      <c r="C2" s="1" t="s">
        <v>2</v>
      </c>
    </row>
    <row r="3" spans="2:3" ht="30" customHeight="1" x14ac:dyDescent="0.15">
      <c r="B3" s="2"/>
      <c r="C3" t="s">
        <v>3</v>
      </c>
    </row>
    <row r="4" spans="2:3" ht="20.45" customHeight="1" x14ac:dyDescent="0.15">
      <c r="C4" s="11">
        <f>SUM(Renda710131619222528313437404346495255[Valor])</f>
        <v>10700</v>
      </c>
    </row>
    <row r="5" spans="2:3" ht="20.45" customHeight="1" x14ac:dyDescent="0.15">
      <c r="C5" t="s">
        <v>4</v>
      </c>
    </row>
    <row r="6" spans="2:3" ht="20.45" customHeight="1" x14ac:dyDescent="0.15">
      <c r="C6" s="11">
        <f>SUM(Despesas69121518212427303336394245485154[Valor])</f>
        <v>16745.919999999998</v>
      </c>
    </row>
    <row r="7" spans="2:3" ht="20.45" customHeight="1" x14ac:dyDescent="0.15">
      <c r="C7" t="s">
        <v>5</v>
      </c>
    </row>
    <row r="8" spans="2:3" ht="20.45" customHeight="1" x14ac:dyDescent="0.15">
      <c r="C8" s="11">
        <f>SUM(Economias58111417202326293235384144475053[Valor])</f>
        <v>0</v>
      </c>
    </row>
    <row r="9" spans="2:3" ht="20.45" customHeight="1" x14ac:dyDescent="0.15">
      <c r="C9" t="s">
        <v>6</v>
      </c>
    </row>
    <row r="10" spans="2:3" ht="20.45" customHeight="1" x14ac:dyDescent="0.15">
      <c r="C10" s="11">
        <f>Renda_mensal_total-Total_mensal_de_despesas-Economia_mensal_total</f>
        <v>-6045.9199999999983</v>
      </c>
    </row>
    <row r="11" spans="2:3" ht="22.5" customHeight="1" x14ac:dyDescent="0.15">
      <c r="B11" s="3">
        <f>MIN(Total_mensal_de_despesas/Renda_mensal_total,1)</f>
        <v>1</v>
      </c>
    </row>
    <row r="12" spans="2:3" ht="37.5" customHeight="1" x14ac:dyDescent="0.25">
      <c r="B12" s="1" t="s">
        <v>7</v>
      </c>
    </row>
    <row r="13" spans="2:3" ht="24.95" customHeight="1" x14ac:dyDescent="0.15">
      <c r="B13" s="7" t="s">
        <v>8</v>
      </c>
      <c r="C13" s="7" t="s">
        <v>9</v>
      </c>
    </row>
    <row r="14" spans="2:3" ht="24.95" customHeight="1" x14ac:dyDescent="0.15">
      <c r="B14" t="s">
        <v>10</v>
      </c>
      <c r="C14" s="12">
        <v>10700</v>
      </c>
    </row>
    <row r="15" spans="2:3" ht="24.95" customHeight="1" x14ac:dyDescent="0.15">
      <c r="B15" t="s">
        <v>11</v>
      </c>
      <c r="C15" s="12"/>
    </row>
    <row r="16" spans="2:3" ht="24.95" customHeight="1" x14ac:dyDescent="0.15">
      <c r="B16" t="s">
        <v>12</v>
      </c>
      <c r="C16" s="12"/>
    </row>
    <row r="17" spans="2:6" ht="24.95" customHeight="1" x14ac:dyDescent="0.15">
      <c r="C17" s="4"/>
    </row>
    <row r="18" spans="2:6" ht="24.95" customHeight="1" x14ac:dyDescent="0.25">
      <c r="B18" s="1" t="s">
        <v>13</v>
      </c>
    </row>
    <row r="19" spans="2:6" ht="24.95" customHeight="1" x14ac:dyDescent="0.15">
      <c r="B19" s="8" t="s">
        <v>8</v>
      </c>
      <c r="C19" s="8" t="s">
        <v>9</v>
      </c>
      <c r="D19" s="27" t="s">
        <v>45</v>
      </c>
    </row>
    <row r="20" spans="2:6" ht="24.95" customHeight="1" x14ac:dyDescent="0.15">
      <c r="B20" s="15" t="s">
        <v>46</v>
      </c>
      <c r="C20" s="24">
        <v>1383.22</v>
      </c>
      <c r="E20" s="18"/>
    </row>
    <row r="21" spans="2:6" ht="24.95" customHeight="1" x14ac:dyDescent="0.15">
      <c r="B21" s="15" t="s">
        <v>15</v>
      </c>
      <c r="C21" s="24">
        <v>322</v>
      </c>
      <c r="E21" s="19"/>
      <c r="F21" s="28">
        <v>1458</v>
      </c>
    </row>
    <row r="22" spans="2:6" ht="24.95" customHeight="1" x14ac:dyDescent="0.15">
      <c r="B22" s="15" t="s">
        <v>16</v>
      </c>
      <c r="C22" s="24">
        <v>172.8</v>
      </c>
      <c r="F22" s="28">
        <v>689.9</v>
      </c>
    </row>
    <row r="23" spans="2:6" ht="24.95" customHeight="1" x14ac:dyDescent="0.15">
      <c r="B23" s="15" t="s">
        <v>39</v>
      </c>
      <c r="C23" s="24">
        <v>50</v>
      </c>
      <c r="F23" s="28">
        <v>208.7</v>
      </c>
    </row>
    <row r="24" spans="2:6" ht="24.95" customHeight="1" x14ac:dyDescent="0.15">
      <c r="B24" s="15" t="s">
        <v>44</v>
      </c>
      <c r="C24" s="24">
        <v>149</v>
      </c>
      <c r="F24" s="28">
        <v>0</v>
      </c>
    </row>
    <row r="25" spans="2:6" ht="24.95" customHeight="1" x14ac:dyDescent="0.15">
      <c r="B25" s="15" t="s">
        <v>49</v>
      </c>
      <c r="C25" s="24">
        <v>67.900000000000006</v>
      </c>
      <c r="F25" s="28">
        <v>0</v>
      </c>
    </row>
    <row r="26" spans="2:6" ht="24.95" customHeight="1" x14ac:dyDescent="0.15">
      <c r="B26" s="15" t="s">
        <v>19</v>
      </c>
      <c r="C26" s="24">
        <v>689.3</v>
      </c>
      <c r="F26" s="28">
        <v>0</v>
      </c>
    </row>
    <row r="27" spans="2:6" ht="24.95" customHeight="1" x14ac:dyDescent="0.15">
      <c r="B27" s="15" t="s">
        <v>37</v>
      </c>
      <c r="C27" s="24">
        <v>5000</v>
      </c>
      <c r="F27" s="28">
        <v>0</v>
      </c>
    </row>
    <row r="28" spans="2:6" ht="24.95" customHeight="1" x14ac:dyDescent="0.15">
      <c r="B28" s="15" t="s">
        <v>21</v>
      </c>
      <c r="C28" s="24">
        <v>1000</v>
      </c>
      <c r="F28" s="20">
        <v>0</v>
      </c>
    </row>
    <row r="29" spans="2:6" ht="24.95" customHeight="1" x14ac:dyDescent="0.15">
      <c r="B29" s="15" t="s">
        <v>22</v>
      </c>
      <c r="C29" s="24">
        <v>533.39</v>
      </c>
      <c r="F29" s="20">
        <v>0</v>
      </c>
    </row>
    <row r="30" spans="2:6" ht="24.95" customHeight="1" x14ac:dyDescent="0.15">
      <c r="B30" s="15" t="s">
        <v>31</v>
      </c>
      <c r="C30" s="30">
        <v>320.63</v>
      </c>
      <c r="F30" s="20">
        <v>0</v>
      </c>
    </row>
    <row r="31" spans="2:6" ht="24.95" customHeight="1" x14ac:dyDescent="0.15">
      <c r="B31" s="15" t="s">
        <v>47</v>
      </c>
      <c r="C31" s="24">
        <v>1250</v>
      </c>
      <c r="F31" s="20">
        <v>0</v>
      </c>
    </row>
    <row r="32" spans="2:6" ht="24.95" customHeight="1" x14ac:dyDescent="0.15">
      <c r="B32" s="15" t="s">
        <v>32</v>
      </c>
      <c r="C32" s="24">
        <v>222.31</v>
      </c>
      <c r="F32" s="20">
        <v>0</v>
      </c>
    </row>
    <row r="33" spans="2:7" ht="24.95" customHeight="1" x14ac:dyDescent="0.15">
      <c r="B33" s="15" t="s">
        <v>33</v>
      </c>
      <c r="C33" s="24">
        <v>659</v>
      </c>
      <c r="F33" s="12">
        <v>0</v>
      </c>
    </row>
    <row r="34" spans="2:7" ht="24.95" customHeight="1" x14ac:dyDescent="0.15">
      <c r="B34" s="15" t="s">
        <v>42</v>
      </c>
      <c r="C34" s="24">
        <v>1807</v>
      </c>
      <c r="F34" s="12">
        <v>0</v>
      </c>
    </row>
    <row r="35" spans="2:7" ht="24.95" customHeight="1" x14ac:dyDescent="0.15">
      <c r="B35" t="s">
        <v>35</v>
      </c>
      <c r="C35" s="24">
        <v>800</v>
      </c>
      <c r="F35" s="12">
        <v>0</v>
      </c>
      <c r="G35" s="26"/>
    </row>
    <row r="36" spans="2:7" ht="24.95" customHeight="1" x14ac:dyDescent="0.15">
      <c r="B36" t="s">
        <v>38</v>
      </c>
      <c r="C36" s="24">
        <v>240</v>
      </c>
      <c r="F36" s="12">
        <v>0</v>
      </c>
    </row>
    <row r="37" spans="2:7" ht="24.95" customHeight="1" x14ac:dyDescent="0.15">
      <c r="B37" t="s">
        <v>36</v>
      </c>
      <c r="C37" s="24">
        <v>470</v>
      </c>
      <c r="F37" s="12">
        <v>0</v>
      </c>
    </row>
    <row r="38" spans="2:7" ht="24.95" customHeight="1" x14ac:dyDescent="0.15">
      <c r="B38" t="s">
        <v>48</v>
      </c>
      <c r="C38" s="24">
        <v>1243</v>
      </c>
      <c r="F38" s="12"/>
    </row>
    <row r="39" spans="2:7" ht="24.95" customHeight="1" x14ac:dyDescent="0.15">
      <c r="B39" t="s">
        <v>50</v>
      </c>
      <c r="C39" s="17">
        <v>167.42</v>
      </c>
      <c r="F39" s="12"/>
    </row>
    <row r="40" spans="2:7" ht="24.95" customHeight="1" x14ac:dyDescent="0.15">
      <c r="B40" t="s">
        <v>43</v>
      </c>
      <c r="C40" s="24">
        <v>198.95</v>
      </c>
      <c r="F40" s="18">
        <f>SUM(F21:F37)</f>
        <v>2356.6</v>
      </c>
    </row>
    <row r="41" spans="2:7" ht="24.95" customHeight="1" x14ac:dyDescent="0.25">
      <c r="B41" s="1" t="s">
        <v>28</v>
      </c>
      <c r="C41" s="17"/>
      <c r="F41" s="29"/>
    </row>
    <row r="42" spans="2:7" ht="24.95" customHeight="1" x14ac:dyDescent="0.15">
      <c r="B42" s="13" t="s">
        <v>29</v>
      </c>
      <c r="C42" s="8" t="s">
        <v>9</v>
      </c>
      <c r="F42" s="26"/>
    </row>
    <row r="43" spans="2:7" ht="24.95" customHeight="1" x14ac:dyDescent="0.15">
      <c r="B43" s="5" t="s">
        <v>30</v>
      </c>
      <c r="C43" s="12">
        <v>0</v>
      </c>
    </row>
    <row r="44" spans="2:7" ht="24.95" customHeight="1" x14ac:dyDescent="0.15">
      <c r="B44" s="5" t="s">
        <v>30</v>
      </c>
      <c r="C44" s="12">
        <v>0</v>
      </c>
    </row>
    <row r="45" spans="2:7" ht="24.95" customHeight="1" x14ac:dyDescent="0.15">
      <c r="B45" s="5" t="s">
        <v>30</v>
      </c>
      <c r="C45" s="12">
        <v>0</v>
      </c>
    </row>
  </sheetData>
  <printOptions horizontalCentered="1"/>
  <pageMargins left="0.35" right="0.41" top="0.41" bottom="0.35" header="0.3" footer="0.3"/>
  <pageSetup paperSize="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8F401D59-8D17-7D4E-A6AC-983A00715C10}">
            <xm:f>'Dados do gráfico'!$B$6</xm:f>
            <x14:dxf>
              <font>
                <color theme="5" tint="-0.24991607409894101"/>
              </font>
            </x14:dxf>
          </x14:cfRule>
          <xm:sqref>C10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0.49995422223578601"/>
  </sheetPr>
  <dimension ref="B2:B6"/>
  <sheetViews>
    <sheetView showGridLines="0" zoomScale="125" zoomScaleNormal="125" workbookViewId="0"/>
  </sheetViews>
  <sheetFormatPr defaultColWidth="8.875" defaultRowHeight="14.25" x14ac:dyDescent="0.15"/>
  <cols>
    <col min="1" max="1" width="1.796875" customWidth="1"/>
  </cols>
  <sheetData>
    <row r="2" spans="2:2" x14ac:dyDescent="0.15">
      <c r="B2" t="s">
        <v>41</v>
      </c>
    </row>
    <row r="4" spans="2:2" x14ac:dyDescent="0.15">
      <c r="B4" s="10">
        <f>MIN(1-B5,1)</f>
        <v>1.2990315865689106E-2</v>
      </c>
    </row>
    <row r="5" spans="2:2" x14ac:dyDescent="0.15">
      <c r="B5" s="10">
        <f>MIN(Total_mensal_de_despesas/Renda_mensal_total,1)</f>
        <v>0.98700968413431089</v>
      </c>
    </row>
    <row r="6" spans="2:2" x14ac:dyDescent="0.15">
      <c r="B6" t="b">
        <f>(Total_mensal_de_despesas/Renda_mensal_total)&gt;1</f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54</vt:i4>
      </vt:variant>
    </vt:vector>
  </HeadingPairs>
  <TitlesOfParts>
    <vt:vector size="73" baseType="lpstr">
      <vt:lpstr>Março </vt:lpstr>
      <vt:lpstr>Novembro </vt:lpstr>
      <vt:lpstr>Dezembro</vt:lpstr>
      <vt:lpstr>Janeiro 25</vt:lpstr>
      <vt:lpstr>Fevereiro 25</vt:lpstr>
      <vt:lpstr>Março 25</vt:lpstr>
      <vt:lpstr>Abril 25</vt:lpstr>
      <vt:lpstr>Maio 25</vt:lpstr>
      <vt:lpstr>Junho 25</vt:lpstr>
      <vt:lpstr>Julho 25</vt:lpstr>
      <vt:lpstr>Agosto 25</vt:lpstr>
      <vt:lpstr>Setembro 25</vt:lpstr>
      <vt:lpstr>Outubro 25</vt:lpstr>
      <vt:lpstr>Novembro 25</vt:lpstr>
      <vt:lpstr>Dezembro 25</vt:lpstr>
      <vt:lpstr>Janeiro 26</vt:lpstr>
      <vt:lpstr>Fevereiro 26</vt:lpstr>
      <vt:lpstr>Março 26</vt:lpstr>
      <vt:lpstr>Dados do gráfico</vt:lpstr>
      <vt:lpstr>Abril 25!Economia_mensal_total</vt:lpstr>
      <vt:lpstr>Agosto 25!Economia_mensal_total</vt:lpstr>
      <vt:lpstr>Dezembro!Economia_mensal_total</vt:lpstr>
      <vt:lpstr>Dezembro 25!Economia_mensal_total</vt:lpstr>
      <vt:lpstr>Fevereiro 25!Economia_mensal_total</vt:lpstr>
      <vt:lpstr>Fevereiro 26!Economia_mensal_total</vt:lpstr>
      <vt:lpstr>Março 26!Economia_mensal_total</vt:lpstr>
      <vt:lpstr>Janeiro 25!Economia_mensal_total</vt:lpstr>
      <vt:lpstr>Janeiro 26!Economia_mensal_total</vt:lpstr>
      <vt:lpstr>Julho 25!Economia_mensal_total</vt:lpstr>
      <vt:lpstr>Junho 25!Economia_mensal_total</vt:lpstr>
      <vt:lpstr>Maio 25!Economia_mensal_total</vt:lpstr>
      <vt:lpstr>Março 25!Economia_mensal_total</vt:lpstr>
      <vt:lpstr>Novembro !Economia_mensal_total</vt:lpstr>
      <vt:lpstr>Novembro 25!Economia_mensal_total</vt:lpstr>
      <vt:lpstr>Outubro 25!Economia_mensal_total</vt:lpstr>
      <vt:lpstr>Setembro 25!Economia_mensal_total</vt:lpstr>
      <vt:lpstr>Economia_mensal_total</vt:lpstr>
      <vt:lpstr>Abril 25!Renda_mensal_total</vt:lpstr>
      <vt:lpstr>Agosto 25!Renda_mensal_total</vt:lpstr>
      <vt:lpstr>Dezembro!Renda_mensal_total</vt:lpstr>
      <vt:lpstr>Dezembro 25!Renda_mensal_total</vt:lpstr>
      <vt:lpstr>Fevereiro 25!Renda_mensal_total</vt:lpstr>
      <vt:lpstr>Fevereiro 26!Renda_mensal_total</vt:lpstr>
      <vt:lpstr>Março 26!Renda_mensal_total</vt:lpstr>
      <vt:lpstr>Janeiro 25!Renda_mensal_total</vt:lpstr>
      <vt:lpstr>Janeiro 26!Renda_mensal_total</vt:lpstr>
      <vt:lpstr>Julho 25!Renda_mensal_total</vt:lpstr>
      <vt:lpstr>Junho 25!Renda_mensal_total</vt:lpstr>
      <vt:lpstr>Maio 25!Renda_mensal_total</vt:lpstr>
      <vt:lpstr>Março 25!Renda_mensal_total</vt:lpstr>
      <vt:lpstr>Novembro !Renda_mensal_total</vt:lpstr>
      <vt:lpstr>Novembro 25!Renda_mensal_total</vt:lpstr>
      <vt:lpstr>Outubro 25!Renda_mensal_total</vt:lpstr>
      <vt:lpstr>Setembro 25!Renda_mensal_total</vt:lpstr>
      <vt:lpstr>Renda_mensal_total</vt:lpstr>
      <vt:lpstr>Abril 25!Total_mensal_de_despesas</vt:lpstr>
      <vt:lpstr>Agosto 25!Total_mensal_de_despesas</vt:lpstr>
      <vt:lpstr>Dezembro!Total_mensal_de_despesas</vt:lpstr>
      <vt:lpstr>Dezembro 25!Total_mensal_de_despesas</vt:lpstr>
      <vt:lpstr>Fevereiro 25!Total_mensal_de_despesas</vt:lpstr>
      <vt:lpstr>Fevereiro 26!Total_mensal_de_despesas</vt:lpstr>
      <vt:lpstr>Março 26!Total_mensal_de_despesas</vt:lpstr>
      <vt:lpstr>Janeiro 25!Total_mensal_de_despesas</vt:lpstr>
      <vt:lpstr>Janeiro 26!Total_mensal_de_despesas</vt:lpstr>
      <vt:lpstr>Julho 25!Total_mensal_de_despesas</vt:lpstr>
      <vt:lpstr>Junho 25!Total_mensal_de_despesas</vt:lpstr>
      <vt:lpstr>Maio 25!Total_mensal_de_despesas</vt:lpstr>
      <vt:lpstr>Março 25!Total_mensal_de_despesas</vt:lpstr>
      <vt:lpstr>Novembro !Total_mensal_de_despesas</vt:lpstr>
      <vt:lpstr>Novembro 25!Total_mensal_de_despesas</vt:lpstr>
      <vt:lpstr>Outubro 25!Total_mensal_de_despesas</vt:lpstr>
      <vt:lpstr>Setembro 25!Total_mensal_de_despesas</vt:lpstr>
      <vt:lpstr>Total_mensal_de_despesas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Werlang</cp:lastModifiedBy>
  <cp:revision/>
  <dcterms:created xsi:type="dcterms:W3CDTF">2014-09-09T12:22:13Z</dcterms:created>
  <dcterms:modified xsi:type="dcterms:W3CDTF">2025-05-02T14:34:06Z</dcterms:modified>
  <cp:category/>
  <cp:contentStatus/>
</cp:coreProperties>
</file>